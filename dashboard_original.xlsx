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autoCompressPictures="0" defaultThemeVersion="166925"/>
  <mc:AlternateContent xmlns:mc="http://schemas.openxmlformats.org/markup-compatibility/2006">
    <mc:Choice Requires="x15">
      <x15ac:absPath xmlns:x15ac="http://schemas.microsoft.com/office/spreadsheetml/2010/11/ac" url="C:\Users\Rachel\Box\Admin\Reports\Goal Setting\Firm Dashboard - Bonuses (Partners Only)\"/>
    </mc:Choice>
  </mc:AlternateContent>
  <xr:revisionPtr revIDLastSave="0" documentId="13_ncr:1_{68BEC9E1-6131-4C7D-B374-64B9F72C895F}" xr6:coauthVersionLast="47" xr6:coauthVersionMax="47" xr10:uidLastSave="{00000000-0000-0000-0000-000000000000}"/>
  <bookViews>
    <workbookView xWindow="30" yWindow="525" windowWidth="18870" windowHeight="14550" tabRatio="786" activeTab="2" xr2:uid="{00000000-000D-0000-FFFF-FFFF00000000}"/>
  </bookViews>
  <sheets>
    <sheet name="Instructions" sheetId="23" r:id="rId1"/>
    <sheet name="2026 Goals " sheetId="29" r:id="rId2"/>
    <sheet name="26 Compare" sheetId="16" r:id="rId3"/>
    <sheet name="Utilization" sheetId="30" r:id="rId4"/>
    <sheet name="Realization" sheetId="31" r:id="rId5"/>
    <sheet name="Collection" sheetId="32" r:id="rId6"/>
    <sheet name="NAF(NEED FILL AND MAKE FOR ALL)" sheetId="73" r:id="rId7"/>
    <sheet name="PAR Bonus (Old)" sheetId="75" r:id="rId8"/>
    <sheet name="KES Bonus (Old)" sheetId="61" r:id="rId9"/>
    <sheet name="NRN Bonus (Old)" sheetId="77" r:id="rId10"/>
    <sheet name="NAF Bonus (Old)" sheetId="74" r:id="rId11"/>
    <sheet name="MNH Bonus (Old)" sheetId="81" r:id="rId12"/>
    <sheet name="TBS Bonus (Old)" sheetId="78" r:id="rId13"/>
    <sheet name="JPB Bonus (Old)" sheetId="76" r:id="rId14"/>
    <sheet name="PARA Bonus" sheetId="24" r:id="rId15"/>
    <sheet name="NAF Admin Tracking (Old)" sheetId="82" r:id="rId16"/>
  </sheets>
  <definedNames>
    <definedName name="_Hlk511029032" localSheetId="2">'26 Compare'!#REF!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31" l="1"/>
  <c r="F27" i="30"/>
  <c r="F28" i="30"/>
  <c r="F29" i="30"/>
  <c r="F30" i="30"/>
  <c r="F31" i="30"/>
  <c r="F32" i="30"/>
  <c r="F33" i="30"/>
  <c r="F34" i="30"/>
  <c r="F35" i="30"/>
  <c r="F36" i="30"/>
  <c r="O76" i="16"/>
  <c r="O75" i="16"/>
  <c r="O74" i="16"/>
  <c r="O69" i="16"/>
  <c r="O68" i="16"/>
  <c r="O67" i="16"/>
  <c r="O65" i="16"/>
  <c r="O64" i="16"/>
  <c r="H70" i="16"/>
  <c r="H71" i="16"/>
  <c r="J71" i="16"/>
  <c r="O71" i="16" l="1"/>
  <c r="N94" i="16"/>
  <c r="V94" i="16"/>
  <c r="S94" i="16"/>
  <c r="R94" i="16"/>
  <c r="Q94" i="16"/>
  <c r="M94" i="16"/>
  <c r="L94" i="16"/>
  <c r="K94" i="16"/>
  <c r="I94" i="16"/>
  <c r="G94" i="16"/>
  <c r="F94" i="16"/>
  <c r="E94" i="16"/>
  <c r="D94" i="16"/>
  <c r="H93" i="16"/>
  <c r="J93" i="16" s="1"/>
  <c r="H90" i="16"/>
  <c r="J90" i="16" s="1"/>
  <c r="H89" i="16"/>
  <c r="J89" i="16" s="1"/>
  <c r="H88" i="16"/>
  <c r="J88" i="16" s="1"/>
  <c r="H87" i="16"/>
  <c r="J87" i="16" s="1"/>
  <c r="H86" i="16"/>
  <c r="J86" i="16" s="1"/>
  <c r="H85" i="16"/>
  <c r="J85" i="16" s="1"/>
  <c r="H84" i="16"/>
  <c r="J84" i="16" s="1"/>
  <c r="H83" i="16"/>
  <c r="J83" i="16" s="1"/>
  <c r="H82" i="16"/>
  <c r="J82" i="16" s="1"/>
  <c r="H81" i="16"/>
  <c r="J81" i="16" s="1"/>
  <c r="H80" i="16"/>
  <c r="J80" i="16" s="1"/>
  <c r="H79" i="16"/>
  <c r="J79" i="16" s="1"/>
  <c r="H78" i="16"/>
  <c r="J78" i="16" s="1"/>
  <c r="H77" i="16"/>
  <c r="J77" i="16" s="1"/>
  <c r="H76" i="16"/>
  <c r="J76" i="16" s="1"/>
  <c r="H75" i="16"/>
  <c r="J75" i="16" s="1"/>
  <c r="H74" i="16"/>
  <c r="J74" i="16" s="1"/>
  <c r="H73" i="16"/>
  <c r="J73" i="16" s="1"/>
  <c r="H72" i="16"/>
  <c r="J72" i="16" s="1"/>
  <c r="J70" i="16"/>
  <c r="H69" i="16"/>
  <c r="J69" i="16" s="1"/>
  <c r="H68" i="16"/>
  <c r="J68" i="16" s="1"/>
  <c r="H67" i="16"/>
  <c r="J67" i="16" s="1"/>
  <c r="H66" i="16"/>
  <c r="J66" i="16" s="1"/>
  <c r="T65" i="16"/>
  <c r="H65" i="16"/>
  <c r="J65" i="16" s="1"/>
  <c r="H64" i="16"/>
  <c r="J64" i="16" s="1"/>
  <c r="C13" i="77"/>
  <c r="C13" i="75"/>
  <c r="T66" i="16" l="1"/>
  <c r="T64" i="16"/>
  <c r="J94" i="16"/>
  <c r="O94" i="16"/>
  <c r="H94" i="16"/>
  <c r="H22" i="16"/>
  <c r="H23" i="16"/>
  <c r="H24" i="16"/>
  <c r="H25" i="16"/>
  <c r="H26" i="16"/>
  <c r="H27" i="16"/>
  <c r="H28" i="16"/>
  <c r="H29" i="16"/>
  <c r="H30" i="16"/>
  <c r="H31" i="16"/>
  <c r="R113" i="16"/>
  <c r="R105" i="16"/>
  <c r="R104" i="16"/>
  <c r="R99" i="16"/>
  <c r="R98" i="16"/>
  <c r="R97" i="16"/>
  <c r="Q113" i="16"/>
  <c r="Q105" i="16"/>
  <c r="Q104" i="16"/>
  <c r="Q99" i="16"/>
  <c r="Q98" i="16"/>
  <c r="Q97" i="16"/>
  <c r="M123" i="16"/>
  <c r="M122" i="16"/>
  <c r="M121" i="16"/>
  <c r="M120" i="16"/>
  <c r="M119" i="16"/>
  <c r="M118" i="16"/>
  <c r="M117" i="16"/>
  <c r="M116" i="16"/>
  <c r="M115" i="16"/>
  <c r="M114" i="16"/>
  <c r="M113" i="16"/>
  <c r="M112" i="16"/>
  <c r="M111" i="16"/>
  <c r="M110" i="16"/>
  <c r="M109" i="16"/>
  <c r="M108" i="16"/>
  <c r="M107" i="16"/>
  <c r="M106" i="16"/>
  <c r="M105" i="16"/>
  <c r="M104" i="16"/>
  <c r="M100" i="16"/>
  <c r="M102" i="16"/>
  <c r="M101" i="16"/>
  <c r="M99" i="16"/>
  <c r="M98" i="16"/>
  <c r="M97" i="16"/>
  <c r="L123" i="16"/>
  <c r="K123" i="16"/>
  <c r="L122" i="16"/>
  <c r="L121" i="16"/>
  <c r="L120" i="16"/>
  <c r="L119" i="16"/>
  <c r="L118" i="16"/>
  <c r="L117" i="16"/>
  <c r="L116" i="16"/>
  <c r="L115" i="16"/>
  <c r="L114" i="16"/>
  <c r="L113" i="16"/>
  <c r="L112" i="16"/>
  <c r="L111" i="16"/>
  <c r="L110" i="16"/>
  <c r="L109" i="16"/>
  <c r="L108" i="16"/>
  <c r="L107" i="16"/>
  <c r="L106" i="16"/>
  <c r="L105" i="16"/>
  <c r="L104" i="16"/>
  <c r="L102" i="16"/>
  <c r="L101" i="16"/>
  <c r="L100" i="16"/>
  <c r="L99" i="16"/>
  <c r="L98" i="16"/>
  <c r="L97" i="16"/>
  <c r="K122" i="16"/>
  <c r="K121" i="16"/>
  <c r="K120" i="16"/>
  <c r="K119" i="16"/>
  <c r="K118" i="16"/>
  <c r="K117" i="16"/>
  <c r="K116" i="16"/>
  <c r="K115" i="16"/>
  <c r="K114" i="16"/>
  <c r="K113" i="16"/>
  <c r="K112" i="16"/>
  <c r="K111" i="16"/>
  <c r="K110" i="16"/>
  <c r="K109" i="16"/>
  <c r="K108" i="16"/>
  <c r="K107" i="16"/>
  <c r="K106" i="16"/>
  <c r="K105" i="16"/>
  <c r="K104" i="16"/>
  <c r="K102" i="16"/>
  <c r="K101" i="16"/>
  <c r="K100" i="16"/>
  <c r="K99" i="16"/>
  <c r="K98" i="16"/>
  <c r="K97" i="16"/>
  <c r="V105" i="16"/>
  <c r="V114" i="16"/>
  <c r="V113" i="16"/>
  <c r="V99" i="16"/>
  <c r="V98" i="16"/>
  <c r="V97" i="16"/>
  <c r="S113" i="16"/>
  <c r="S104" i="16"/>
  <c r="S105" i="16"/>
  <c r="S99" i="16"/>
  <c r="S98" i="16"/>
  <c r="S97" i="16"/>
  <c r="N122" i="16"/>
  <c r="N121" i="16"/>
  <c r="N119" i="16"/>
  <c r="N118" i="16"/>
  <c r="N116" i="16"/>
  <c r="N115" i="16"/>
  <c r="N114" i="16"/>
  <c r="N113" i="16"/>
  <c r="N112" i="16"/>
  <c r="N111" i="16"/>
  <c r="N110" i="16"/>
  <c r="N109" i="16"/>
  <c r="N108" i="16"/>
  <c r="N107" i="16"/>
  <c r="N106" i="16"/>
  <c r="N105" i="16"/>
  <c r="N104" i="16"/>
  <c r="N102" i="16"/>
  <c r="N101" i="16"/>
  <c r="N100" i="16"/>
  <c r="N99" i="16"/>
  <c r="N98" i="16"/>
  <c r="N97" i="16"/>
  <c r="I113" i="16"/>
  <c r="I112" i="16"/>
  <c r="I111" i="16"/>
  <c r="I110" i="16"/>
  <c r="I109" i="16"/>
  <c r="I108" i="16"/>
  <c r="I107" i="16"/>
  <c r="I106" i="16"/>
  <c r="I105" i="16"/>
  <c r="I104" i="16"/>
  <c r="I102" i="16"/>
  <c r="I101" i="16"/>
  <c r="I100" i="16"/>
  <c r="I99" i="16"/>
  <c r="I98" i="16"/>
  <c r="I97" i="16"/>
  <c r="G113" i="16"/>
  <c r="G112" i="16"/>
  <c r="G111" i="16"/>
  <c r="G110" i="16"/>
  <c r="G109" i="16"/>
  <c r="G108" i="16"/>
  <c r="G107" i="16"/>
  <c r="G106" i="16"/>
  <c r="G105" i="16"/>
  <c r="G104" i="16"/>
  <c r="G102" i="16"/>
  <c r="G101" i="16"/>
  <c r="G100" i="16"/>
  <c r="G99" i="16"/>
  <c r="G98" i="16"/>
  <c r="G97" i="16"/>
  <c r="F113" i="16"/>
  <c r="F112" i="16"/>
  <c r="F111" i="16"/>
  <c r="F110" i="16"/>
  <c r="F109" i="16"/>
  <c r="F108" i="16"/>
  <c r="F107" i="16"/>
  <c r="F106" i="16"/>
  <c r="F105" i="16"/>
  <c r="F104" i="16"/>
  <c r="F102" i="16"/>
  <c r="F101" i="16"/>
  <c r="F100" i="16"/>
  <c r="F99" i="16"/>
  <c r="F98" i="16"/>
  <c r="F97" i="16"/>
  <c r="E113" i="16"/>
  <c r="E111" i="16"/>
  <c r="E112" i="16"/>
  <c r="E110" i="16"/>
  <c r="E109" i="16"/>
  <c r="E108" i="16"/>
  <c r="E107" i="16"/>
  <c r="E106" i="16"/>
  <c r="E105" i="16"/>
  <c r="E104" i="16"/>
  <c r="E102" i="16"/>
  <c r="E101" i="16"/>
  <c r="E100" i="16"/>
  <c r="E99" i="16"/>
  <c r="E98" i="16"/>
  <c r="E97" i="16"/>
  <c r="D113" i="16"/>
  <c r="D112" i="16"/>
  <c r="D111" i="16"/>
  <c r="D110" i="16"/>
  <c r="D109" i="16"/>
  <c r="D108" i="16"/>
  <c r="D107" i="16"/>
  <c r="D106" i="16"/>
  <c r="D105" i="16"/>
  <c r="D104" i="16"/>
  <c r="D102" i="16"/>
  <c r="D101" i="16"/>
  <c r="D100" i="16"/>
  <c r="D99" i="16"/>
  <c r="D98" i="16"/>
  <c r="D97" i="16"/>
  <c r="T94" i="16" l="1"/>
  <c r="H28" i="24"/>
  <c r="H27" i="24"/>
  <c r="H26" i="24"/>
  <c r="E28" i="24"/>
  <c r="D28" i="24"/>
  <c r="E27" i="24"/>
  <c r="D27" i="24"/>
  <c r="G27" i="24" s="1"/>
  <c r="E26" i="24"/>
  <c r="D26" i="24"/>
  <c r="G26" i="24" s="1"/>
  <c r="H12" i="24"/>
  <c r="G11" i="24"/>
  <c r="F11" i="24"/>
  <c r="G10" i="24"/>
  <c r="F10" i="24"/>
  <c r="G9" i="24"/>
  <c r="F9" i="24"/>
  <c r="G4" i="24"/>
  <c r="G5" i="24"/>
  <c r="G3" i="24"/>
  <c r="F5" i="24"/>
  <c r="F4" i="24"/>
  <c r="F3" i="24"/>
  <c r="O45" i="16"/>
  <c r="O44" i="16"/>
  <c r="O43" i="16"/>
  <c r="O39" i="16"/>
  <c r="O38" i="16"/>
  <c r="O37" i="16"/>
  <c r="O35" i="16"/>
  <c r="O34" i="16"/>
  <c r="O16" i="16"/>
  <c r="O15" i="16"/>
  <c r="O14" i="16"/>
  <c r="O10" i="16"/>
  <c r="O9" i="16"/>
  <c r="O8" i="16"/>
  <c r="O7" i="16"/>
  <c r="O6" i="16"/>
  <c r="O5" i="16"/>
  <c r="D9" i="29"/>
  <c r="D10" i="29"/>
  <c r="D11" i="29"/>
  <c r="D12" i="29"/>
  <c r="F12" i="29" s="1"/>
  <c r="H12" i="29" s="1"/>
  <c r="J12" i="29" s="1"/>
  <c r="L12" i="29" s="1"/>
  <c r="B3" i="29"/>
  <c r="B4" i="29"/>
  <c r="D4" i="29" s="1"/>
  <c r="B5" i="29"/>
  <c r="D5" i="29" s="1"/>
  <c r="B6" i="29"/>
  <c r="D6" i="29" s="1"/>
  <c r="B7" i="29"/>
  <c r="D7" i="29" s="1"/>
  <c r="B8" i="29"/>
  <c r="D8" i="29" s="1"/>
  <c r="B10" i="29"/>
  <c r="B11" i="29"/>
  <c r="B12" i="29"/>
  <c r="T99" i="16"/>
  <c r="T98" i="16"/>
  <c r="T97" i="16"/>
  <c r="V124" i="16"/>
  <c r="S124" i="16"/>
  <c r="R124" i="16"/>
  <c r="Q124" i="16"/>
  <c r="O124" i="16"/>
  <c r="N124" i="16"/>
  <c r="M124" i="16"/>
  <c r="L124" i="16"/>
  <c r="K124" i="16"/>
  <c r="I124" i="16"/>
  <c r="G124" i="16"/>
  <c r="F124" i="16"/>
  <c r="E124" i="16"/>
  <c r="D124" i="16"/>
  <c r="H123" i="16"/>
  <c r="J123" i="16" s="1"/>
  <c r="H122" i="16"/>
  <c r="J122" i="16" s="1"/>
  <c r="H121" i="16"/>
  <c r="J121" i="16" s="1"/>
  <c r="H120" i="16"/>
  <c r="J120" i="16" s="1"/>
  <c r="H119" i="16"/>
  <c r="J119" i="16" s="1"/>
  <c r="H118" i="16"/>
  <c r="J118" i="16" s="1"/>
  <c r="H117" i="16"/>
  <c r="J117" i="16" s="1"/>
  <c r="H116" i="16"/>
  <c r="J116" i="16" s="1"/>
  <c r="H115" i="16"/>
  <c r="J115" i="16" s="1"/>
  <c r="H114" i="16"/>
  <c r="J114" i="16" s="1"/>
  <c r="H113" i="16"/>
  <c r="J113" i="16" s="1"/>
  <c r="H112" i="16"/>
  <c r="J112" i="16" s="1"/>
  <c r="H111" i="16"/>
  <c r="J111" i="16" s="1"/>
  <c r="H110" i="16"/>
  <c r="J110" i="16" s="1"/>
  <c r="H109" i="16"/>
  <c r="J109" i="16" s="1"/>
  <c r="H108" i="16"/>
  <c r="J108" i="16" s="1"/>
  <c r="H107" i="16"/>
  <c r="J107" i="16" s="1"/>
  <c r="H106" i="16"/>
  <c r="J106" i="16" s="1"/>
  <c r="H105" i="16"/>
  <c r="J105" i="16" s="1"/>
  <c r="H104" i="16"/>
  <c r="J104" i="16" s="1"/>
  <c r="H103" i="16"/>
  <c r="J103" i="16" s="1"/>
  <c r="H102" i="16"/>
  <c r="J102" i="16" s="1"/>
  <c r="H101" i="16"/>
  <c r="J101" i="16" s="1"/>
  <c r="H100" i="16"/>
  <c r="J100" i="16" s="1"/>
  <c r="H99" i="16"/>
  <c r="J99" i="16" s="1"/>
  <c r="H98" i="16"/>
  <c r="J98" i="16" s="1"/>
  <c r="H97" i="16"/>
  <c r="J97" i="16" s="1"/>
  <c r="V61" i="16"/>
  <c r="S61" i="16"/>
  <c r="R61" i="16"/>
  <c r="Q61" i="16"/>
  <c r="N61" i="16"/>
  <c r="M61" i="16"/>
  <c r="L61" i="16"/>
  <c r="K61" i="16"/>
  <c r="I61" i="16"/>
  <c r="G61" i="16"/>
  <c r="F61" i="16"/>
  <c r="E61" i="16"/>
  <c r="D61" i="16"/>
  <c r="H60" i="16"/>
  <c r="J60" i="16" s="1"/>
  <c r="H59" i="16"/>
  <c r="J59" i="16" s="1"/>
  <c r="H58" i="16"/>
  <c r="J58" i="16" s="1"/>
  <c r="H57" i="16"/>
  <c r="J57" i="16" s="1"/>
  <c r="H56" i="16"/>
  <c r="J56" i="16" s="1"/>
  <c r="H55" i="16"/>
  <c r="J55" i="16" s="1"/>
  <c r="H54" i="16"/>
  <c r="J54" i="16" s="1"/>
  <c r="H53" i="16"/>
  <c r="J53" i="16" s="1"/>
  <c r="H52" i="16"/>
  <c r="J52" i="16" s="1"/>
  <c r="H51" i="16"/>
  <c r="J51" i="16" s="1"/>
  <c r="H50" i="16"/>
  <c r="J50" i="16" s="1"/>
  <c r="H49" i="16"/>
  <c r="J49" i="16" s="1"/>
  <c r="H48" i="16"/>
  <c r="J48" i="16" s="1"/>
  <c r="H47" i="16"/>
  <c r="J47" i="16" s="1"/>
  <c r="H46" i="16"/>
  <c r="J46" i="16" s="1"/>
  <c r="H45" i="16"/>
  <c r="J45" i="16" s="1"/>
  <c r="H44" i="16"/>
  <c r="J44" i="16" s="1"/>
  <c r="H43" i="16"/>
  <c r="J43" i="16" s="1"/>
  <c r="H42" i="16"/>
  <c r="J42" i="16" s="1"/>
  <c r="H41" i="16"/>
  <c r="J41" i="16" s="1"/>
  <c r="H40" i="16"/>
  <c r="J40" i="16" s="1"/>
  <c r="H39" i="16"/>
  <c r="J39" i="16" s="1"/>
  <c r="H38" i="16"/>
  <c r="J38" i="16" s="1"/>
  <c r="H37" i="16"/>
  <c r="J37" i="16" s="1"/>
  <c r="H36" i="16"/>
  <c r="J36" i="16" s="1"/>
  <c r="H35" i="16"/>
  <c r="J35" i="16" s="1"/>
  <c r="H34" i="16"/>
  <c r="J34" i="16" s="1"/>
  <c r="J22" i="16"/>
  <c r="J23" i="16"/>
  <c r="J24" i="16"/>
  <c r="J25" i="16"/>
  <c r="J26" i="16"/>
  <c r="J30" i="16"/>
  <c r="J31" i="16"/>
  <c r="H6" i="16"/>
  <c r="J6" i="16" s="1"/>
  <c r="H7" i="16"/>
  <c r="J7" i="16" s="1"/>
  <c r="H8" i="16"/>
  <c r="J8" i="16" s="1"/>
  <c r="H9" i="16"/>
  <c r="J9" i="16" s="1"/>
  <c r="H10" i="16"/>
  <c r="J10" i="16" s="1"/>
  <c r="H12" i="16"/>
  <c r="J12" i="16" s="1"/>
  <c r="H13" i="16"/>
  <c r="J13" i="16" s="1"/>
  <c r="H14" i="16"/>
  <c r="J14" i="16" s="1"/>
  <c r="H15" i="16"/>
  <c r="J15" i="16" s="1"/>
  <c r="H16" i="16"/>
  <c r="J16" i="16" s="1"/>
  <c r="H17" i="16"/>
  <c r="J17" i="16" s="1"/>
  <c r="H18" i="16"/>
  <c r="J18" i="16" s="1"/>
  <c r="H19" i="16"/>
  <c r="J19" i="16" s="1"/>
  <c r="H20" i="16"/>
  <c r="J20" i="16" s="1"/>
  <c r="H21" i="16"/>
  <c r="J21" i="16" s="1"/>
  <c r="J27" i="16"/>
  <c r="J28" i="16"/>
  <c r="J29" i="16"/>
  <c r="F27" i="24" l="1"/>
  <c r="F26" i="24"/>
  <c r="H61" i="16"/>
  <c r="H29" i="24"/>
  <c r="F28" i="24"/>
  <c r="G28" i="24"/>
  <c r="T36" i="16"/>
  <c r="T35" i="16"/>
  <c r="T34" i="16"/>
  <c r="O61" i="16"/>
  <c r="T7" i="16"/>
  <c r="T6" i="16"/>
  <c r="T5" i="16"/>
  <c r="T124" i="16"/>
  <c r="J124" i="16"/>
  <c r="H124" i="16"/>
  <c r="J61" i="16"/>
  <c r="H15" i="73"/>
  <c r="G15" i="73"/>
  <c r="F15" i="73"/>
  <c r="E15" i="73"/>
  <c r="D15" i="73"/>
  <c r="C15" i="73"/>
  <c r="G4" i="73"/>
  <c r="I4" i="73"/>
  <c r="O4" i="73"/>
  <c r="G5" i="73"/>
  <c r="I5" i="73"/>
  <c r="O5" i="73"/>
  <c r="G6" i="73"/>
  <c r="I6" i="73"/>
  <c r="O6" i="73"/>
  <c r="G7" i="73"/>
  <c r="I7" i="73"/>
  <c r="O7" i="73"/>
  <c r="G8" i="73"/>
  <c r="I8" i="73" s="1"/>
  <c r="O8" i="73"/>
  <c r="G9" i="73"/>
  <c r="I9" i="73" s="1"/>
  <c r="O9" i="73"/>
  <c r="G10" i="73"/>
  <c r="I10" i="73"/>
  <c r="O10" i="73"/>
  <c r="G11" i="73"/>
  <c r="I11" i="73"/>
  <c r="O11" i="73"/>
  <c r="G12" i="73"/>
  <c r="I12" i="73" s="1"/>
  <c r="O12" i="73"/>
  <c r="G13" i="73"/>
  <c r="I13" i="73"/>
  <c r="O13" i="73"/>
  <c r="G14" i="73"/>
  <c r="I14" i="73"/>
  <c r="O14" i="73"/>
  <c r="O3" i="73"/>
  <c r="I3" i="73"/>
  <c r="G3" i="73"/>
  <c r="D157" i="32"/>
  <c r="C157" i="32"/>
  <c r="E156" i="32"/>
  <c r="E155" i="32"/>
  <c r="E154" i="32"/>
  <c r="E153" i="32"/>
  <c r="E152" i="32"/>
  <c r="E151" i="32"/>
  <c r="E150" i="32"/>
  <c r="E149" i="32"/>
  <c r="E148" i="32"/>
  <c r="E147" i="32"/>
  <c r="D144" i="32"/>
  <c r="C144" i="32"/>
  <c r="E143" i="32"/>
  <c r="E142" i="32"/>
  <c r="E141" i="32"/>
  <c r="E140" i="32"/>
  <c r="E139" i="32"/>
  <c r="E138" i="32"/>
  <c r="E137" i="32"/>
  <c r="E136" i="32"/>
  <c r="E135" i="32"/>
  <c r="E134" i="32"/>
  <c r="D131" i="32"/>
  <c r="C131" i="32"/>
  <c r="E130" i="32"/>
  <c r="E129" i="32"/>
  <c r="E128" i="32"/>
  <c r="E127" i="32"/>
  <c r="E126" i="32"/>
  <c r="E125" i="32"/>
  <c r="E124" i="32"/>
  <c r="E123" i="32"/>
  <c r="E122" i="32"/>
  <c r="E121" i="32"/>
  <c r="D118" i="32"/>
  <c r="C118" i="32"/>
  <c r="E117" i="32"/>
  <c r="E116" i="32"/>
  <c r="E115" i="32"/>
  <c r="E114" i="32"/>
  <c r="E113" i="32"/>
  <c r="E112" i="32"/>
  <c r="E111" i="32"/>
  <c r="E110" i="32"/>
  <c r="E109" i="32"/>
  <c r="E108" i="32"/>
  <c r="D105" i="32"/>
  <c r="C105" i="32"/>
  <c r="E104" i="32"/>
  <c r="E103" i="32"/>
  <c r="E102" i="32"/>
  <c r="E101" i="32"/>
  <c r="E100" i="32"/>
  <c r="E99" i="32"/>
  <c r="E98" i="32"/>
  <c r="E97" i="32"/>
  <c r="E96" i="32"/>
  <c r="E95" i="32"/>
  <c r="D92" i="32"/>
  <c r="C92" i="32"/>
  <c r="E91" i="32"/>
  <c r="E90" i="32"/>
  <c r="E89" i="32"/>
  <c r="E88" i="32"/>
  <c r="E87" i="32"/>
  <c r="E86" i="32"/>
  <c r="E85" i="32"/>
  <c r="E84" i="32"/>
  <c r="E83" i="32"/>
  <c r="E82" i="32"/>
  <c r="D79" i="32"/>
  <c r="C79" i="32"/>
  <c r="E78" i="32"/>
  <c r="E77" i="32"/>
  <c r="E76" i="32"/>
  <c r="E75" i="32"/>
  <c r="E74" i="32"/>
  <c r="E73" i="32"/>
  <c r="E72" i="32"/>
  <c r="E71" i="32"/>
  <c r="E70" i="32"/>
  <c r="E69" i="32"/>
  <c r="D66" i="32"/>
  <c r="C66" i="32"/>
  <c r="E65" i="32"/>
  <c r="E64" i="32"/>
  <c r="E63" i="32"/>
  <c r="E62" i="32"/>
  <c r="E61" i="32"/>
  <c r="E60" i="32"/>
  <c r="E59" i="32"/>
  <c r="E58" i="32"/>
  <c r="E57" i="32"/>
  <c r="E56" i="32"/>
  <c r="D53" i="32"/>
  <c r="C53" i="32"/>
  <c r="E52" i="32"/>
  <c r="E51" i="32"/>
  <c r="E50" i="32"/>
  <c r="E49" i="32"/>
  <c r="E48" i="32"/>
  <c r="E47" i="32"/>
  <c r="E46" i="32"/>
  <c r="E45" i="32"/>
  <c r="E44" i="32"/>
  <c r="E43" i="32"/>
  <c r="D40" i="32"/>
  <c r="C40" i="32"/>
  <c r="E39" i="32"/>
  <c r="E38" i="32"/>
  <c r="E37" i="32"/>
  <c r="E36" i="32"/>
  <c r="E35" i="32"/>
  <c r="E34" i="32"/>
  <c r="E33" i="32"/>
  <c r="E32" i="32"/>
  <c r="E31" i="32"/>
  <c r="E30" i="32"/>
  <c r="D27" i="32"/>
  <c r="C27" i="32"/>
  <c r="E26" i="32"/>
  <c r="E25" i="32"/>
  <c r="E24" i="32"/>
  <c r="E23" i="32"/>
  <c r="E22" i="32"/>
  <c r="E21" i="32"/>
  <c r="E20" i="32"/>
  <c r="E19" i="32"/>
  <c r="E18" i="32"/>
  <c r="E17" i="32"/>
  <c r="F156" i="31"/>
  <c r="E156" i="31"/>
  <c r="D156" i="31"/>
  <c r="G155" i="31"/>
  <c r="C155" i="31"/>
  <c r="G154" i="31"/>
  <c r="C154" i="31"/>
  <c r="G153" i="31"/>
  <c r="C153" i="31"/>
  <c r="G152" i="31"/>
  <c r="C152" i="31"/>
  <c r="G151" i="31"/>
  <c r="C151" i="31"/>
  <c r="G150" i="31"/>
  <c r="C150" i="31"/>
  <c r="G149" i="31"/>
  <c r="C149" i="31"/>
  <c r="G148" i="31"/>
  <c r="C148" i="31"/>
  <c r="G147" i="31"/>
  <c r="C147" i="31"/>
  <c r="G146" i="31"/>
  <c r="C146" i="31"/>
  <c r="C156" i="31" s="1"/>
  <c r="F143" i="31"/>
  <c r="E143" i="31"/>
  <c r="D143" i="31"/>
  <c r="G142" i="31"/>
  <c r="C142" i="31"/>
  <c r="G141" i="31"/>
  <c r="C141" i="31"/>
  <c r="G140" i="31"/>
  <c r="C140" i="31"/>
  <c r="G139" i="31"/>
  <c r="C139" i="31"/>
  <c r="G138" i="31"/>
  <c r="C138" i="31"/>
  <c r="G137" i="31"/>
  <c r="C137" i="31"/>
  <c r="G136" i="31"/>
  <c r="C136" i="31"/>
  <c r="G135" i="31"/>
  <c r="C135" i="31"/>
  <c r="G134" i="31"/>
  <c r="C134" i="31"/>
  <c r="C143" i="31" s="1"/>
  <c r="G133" i="31"/>
  <c r="C133" i="31"/>
  <c r="F130" i="31"/>
  <c r="E130" i="31"/>
  <c r="D130" i="31"/>
  <c r="G129" i="31"/>
  <c r="C129" i="31"/>
  <c r="G128" i="31"/>
  <c r="C128" i="31"/>
  <c r="G127" i="31"/>
  <c r="C127" i="31"/>
  <c r="G126" i="31"/>
  <c r="C126" i="31"/>
  <c r="G125" i="31"/>
  <c r="C125" i="31"/>
  <c r="G124" i="31"/>
  <c r="C124" i="31"/>
  <c r="G123" i="31"/>
  <c r="C123" i="31"/>
  <c r="G122" i="31"/>
  <c r="C122" i="31"/>
  <c r="G121" i="31"/>
  <c r="C121" i="31"/>
  <c r="G120" i="31"/>
  <c r="C120" i="31"/>
  <c r="C130" i="31" s="1"/>
  <c r="F117" i="31"/>
  <c r="E117" i="31"/>
  <c r="D117" i="31"/>
  <c r="G116" i="31"/>
  <c r="C116" i="31"/>
  <c r="G115" i="31"/>
  <c r="C115" i="31"/>
  <c r="G114" i="31"/>
  <c r="C114" i="31"/>
  <c r="G113" i="31"/>
  <c r="C113" i="31"/>
  <c r="G112" i="31"/>
  <c r="C112" i="31"/>
  <c r="G111" i="31"/>
  <c r="C111" i="31"/>
  <c r="G110" i="31"/>
  <c r="C110" i="31"/>
  <c r="G109" i="31"/>
  <c r="C109" i="31"/>
  <c r="G108" i="31"/>
  <c r="C108" i="31"/>
  <c r="G107" i="31"/>
  <c r="C107" i="31"/>
  <c r="C117" i="31" s="1"/>
  <c r="F104" i="31"/>
  <c r="E104" i="31"/>
  <c r="D104" i="31"/>
  <c r="G103" i="31"/>
  <c r="C103" i="31"/>
  <c r="G102" i="31"/>
  <c r="C102" i="31"/>
  <c r="G101" i="31"/>
  <c r="C101" i="31"/>
  <c r="G100" i="31"/>
  <c r="C100" i="31"/>
  <c r="G99" i="31"/>
  <c r="C99" i="31"/>
  <c r="G98" i="31"/>
  <c r="C98" i="31"/>
  <c r="G97" i="31"/>
  <c r="C97" i="31"/>
  <c r="G96" i="31"/>
  <c r="C96" i="31"/>
  <c r="G95" i="31"/>
  <c r="C95" i="31"/>
  <c r="G94" i="31"/>
  <c r="C94" i="31"/>
  <c r="C104" i="31" s="1"/>
  <c r="F91" i="31"/>
  <c r="E91" i="31"/>
  <c r="D91" i="31"/>
  <c r="G90" i="31"/>
  <c r="C90" i="31"/>
  <c r="G89" i="31"/>
  <c r="C89" i="31"/>
  <c r="G88" i="31"/>
  <c r="C88" i="31"/>
  <c r="G87" i="31"/>
  <c r="C87" i="31"/>
  <c r="G86" i="31"/>
  <c r="C86" i="31"/>
  <c r="G85" i="31"/>
  <c r="C85" i="31"/>
  <c r="G84" i="31"/>
  <c r="C84" i="31"/>
  <c r="G83" i="31"/>
  <c r="C83" i="31"/>
  <c r="G82" i="31"/>
  <c r="C82" i="31"/>
  <c r="G81" i="31"/>
  <c r="C81" i="31"/>
  <c r="C91" i="31" s="1"/>
  <c r="F78" i="31"/>
  <c r="E78" i="31"/>
  <c r="D78" i="31"/>
  <c r="G77" i="31"/>
  <c r="C77" i="31"/>
  <c r="G76" i="31"/>
  <c r="C76" i="31"/>
  <c r="G75" i="31"/>
  <c r="C75" i="31"/>
  <c r="G74" i="31"/>
  <c r="C74" i="31"/>
  <c r="G73" i="31"/>
  <c r="C73" i="31"/>
  <c r="G72" i="31"/>
  <c r="C72" i="31"/>
  <c r="G71" i="31"/>
  <c r="C71" i="31"/>
  <c r="G70" i="31"/>
  <c r="C70" i="31"/>
  <c r="G69" i="31"/>
  <c r="C69" i="31"/>
  <c r="G68" i="31"/>
  <c r="C68" i="31"/>
  <c r="C78" i="31" s="1"/>
  <c r="F65" i="31"/>
  <c r="E65" i="31"/>
  <c r="D65" i="31"/>
  <c r="G64" i="31"/>
  <c r="C64" i="31"/>
  <c r="G63" i="31"/>
  <c r="C63" i="31"/>
  <c r="G62" i="31"/>
  <c r="C62" i="31"/>
  <c r="G61" i="31"/>
  <c r="C61" i="31"/>
  <c r="G60" i="31"/>
  <c r="C60" i="31"/>
  <c r="G59" i="31"/>
  <c r="C59" i="31"/>
  <c r="G58" i="31"/>
  <c r="C58" i="31"/>
  <c r="G57" i="31"/>
  <c r="C57" i="31"/>
  <c r="G56" i="31"/>
  <c r="C56" i="31"/>
  <c r="G55" i="31"/>
  <c r="C55" i="31"/>
  <c r="C65" i="31" s="1"/>
  <c r="F52" i="31"/>
  <c r="E52" i="31"/>
  <c r="D52" i="31"/>
  <c r="G51" i="31"/>
  <c r="C51" i="31"/>
  <c r="G50" i="31"/>
  <c r="C50" i="31"/>
  <c r="G49" i="31"/>
  <c r="C49" i="31"/>
  <c r="G48" i="31"/>
  <c r="C48" i="31"/>
  <c r="G47" i="31"/>
  <c r="C47" i="31"/>
  <c r="G46" i="31"/>
  <c r="C46" i="31"/>
  <c r="G45" i="31"/>
  <c r="C45" i="31"/>
  <c r="G44" i="31"/>
  <c r="C44" i="31"/>
  <c r="G43" i="31"/>
  <c r="C43" i="31"/>
  <c r="C52" i="31" s="1"/>
  <c r="G42" i="31"/>
  <c r="C42" i="31"/>
  <c r="F39" i="31"/>
  <c r="E39" i="31"/>
  <c r="D39" i="31"/>
  <c r="G38" i="31"/>
  <c r="C38" i="31"/>
  <c r="G37" i="31"/>
  <c r="G36" i="31"/>
  <c r="C36" i="31"/>
  <c r="G35" i="31"/>
  <c r="C35" i="31"/>
  <c r="G34" i="31"/>
  <c r="C34" i="31"/>
  <c r="G33" i="31"/>
  <c r="C33" i="31"/>
  <c r="G32" i="31"/>
  <c r="C32" i="31"/>
  <c r="G31" i="31"/>
  <c r="C31" i="31"/>
  <c r="G30" i="31"/>
  <c r="C30" i="31"/>
  <c r="G29" i="31"/>
  <c r="C29" i="31"/>
  <c r="F26" i="31"/>
  <c r="E26" i="31"/>
  <c r="D26" i="31"/>
  <c r="G25" i="31"/>
  <c r="C25" i="31"/>
  <c r="G24" i="31"/>
  <c r="C24" i="31"/>
  <c r="G23" i="31"/>
  <c r="C23" i="31"/>
  <c r="G22" i="31"/>
  <c r="C22" i="31"/>
  <c r="G21" i="31"/>
  <c r="C21" i="31"/>
  <c r="G20" i="31"/>
  <c r="C20" i="31"/>
  <c r="G19" i="31"/>
  <c r="C19" i="31"/>
  <c r="G18" i="31"/>
  <c r="C18" i="31"/>
  <c r="G17" i="31"/>
  <c r="C17" i="31"/>
  <c r="G16" i="31"/>
  <c r="C16" i="31"/>
  <c r="G3" i="31"/>
  <c r="C3" i="31"/>
  <c r="F144" i="30"/>
  <c r="H144" i="30" s="1"/>
  <c r="E144" i="30"/>
  <c r="F143" i="30"/>
  <c r="H143" i="30" s="1"/>
  <c r="E143" i="30"/>
  <c r="H142" i="30"/>
  <c r="G142" i="30"/>
  <c r="F142" i="30"/>
  <c r="E142" i="30"/>
  <c r="H141" i="30"/>
  <c r="F141" i="30"/>
  <c r="G141" i="30" s="1"/>
  <c r="E141" i="30"/>
  <c r="F140" i="30"/>
  <c r="H140" i="30" s="1"/>
  <c r="E140" i="30"/>
  <c r="F139" i="30"/>
  <c r="G139" i="30" s="1"/>
  <c r="E139" i="30"/>
  <c r="H138" i="30"/>
  <c r="G138" i="30"/>
  <c r="F138" i="30"/>
  <c r="E138" i="30"/>
  <c r="H137" i="30"/>
  <c r="F137" i="30"/>
  <c r="G137" i="30" s="1"/>
  <c r="E137" i="30"/>
  <c r="F136" i="30"/>
  <c r="H136" i="30" s="1"/>
  <c r="E136" i="30"/>
  <c r="F135" i="30"/>
  <c r="H135" i="30" s="1"/>
  <c r="E135" i="30"/>
  <c r="F132" i="30"/>
  <c r="H132" i="30" s="1"/>
  <c r="E132" i="30"/>
  <c r="H131" i="30"/>
  <c r="G131" i="30"/>
  <c r="F131" i="30"/>
  <c r="E131" i="30"/>
  <c r="F130" i="30"/>
  <c r="G130" i="30" s="1"/>
  <c r="E130" i="30"/>
  <c r="F129" i="30"/>
  <c r="G129" i="30" s="1"/>
  <c r="E129" i="30"/>
  <c r="F128" i="30"/>
  <c r="H128" i="30" s="1"/>
  <c r="E128" i="30"/>
  <c r="H127" i="30"/>
  <c r="G127" i="30"/>
  <c r="F127" i="30"/>
  <c r="E127" i="30"/>
  <c r="F126" i="30"/>
  <c r="H126" i="30" s="1"/>
  <c r="E126" i="30"/>
  <c r="F125" i="30"/>
  <c r="G125" i="30" s="1"/>
  <c r="E125" i="30"/>
  <c r="F124" i="30"/>
  <c r="H124" i="30" s="1"/>
  <c r="E124" i="30"/>
  <c r="H123" i="30"/>
  <c r="G123" i="30"/>
  <c r="F123" i="30"/>
  <c r="E123" i="30"/>
  <c r="F120" i="30"/>
  <c r="H120" i="30" s="1"/>
  <c r="E120" i="30"/>
  <c r="F119" i="30"/>
  <c r="H119" i="30" s="1"/>
  <c r="E119" i="30"/>
  <c r="H118" i="30"/>
  <c r="G118" i="30"/>
  <c r="F118" i="30"/>
  <c r="E118" i="30"/>
  <c r="H117" i="30"/>
  <c r="F117" i="30"/>
  <c r="G117" i="30" s="1"/>
  <c r="E117" i="30"/>
  <c r="F116" i="30"/>
  <c r="G116" i="30" s="1"/>
  <c r="E116" i="30"/>
  <c r="F115" i="30"/>
  <c r="G115" i="30" s="1"/>
  <c r="E115" i="30"/>
  <c r="H114" i="30"/>
  <c r="G114" i="30"/>
  <c r="F114" i="30"/>
  <c r="E114" i="30"/>
  <c r="H113" i="30"/>
  <c r="F113" i="30"/>
  <c r="G113" i="30" s="1"/>
  <c r="E113" i="30"/>
  <c r="F112" i="30"/>
  <c r="H112" i="30" s="1"/>
  <c r="E112" i="30"/>
  <c r="F111" i="30"/>
  <c r="G111" i="30" s="1"/>
  <c r="E111" i="30"/>
  <c r="F108" i="30"/>
  <c r="H108" i="30" s="1"/>
  <c r="E108" i="30"/>
  <c r="F107" i="30"/>
  <c r="G107" i="30" s="1"/>
  <c r="E107" i="30"/>
  <c r="F106" i="30"/>
  <c r="H106" i="30" s="1"/>
  <c r="E106" i="30"/>
  <c r="G106" i="30" s="1"/>
  <c r="H105" i="30"/>
  <c r="F105" i="30"/>
  <c r="G105" i="30" s="1"/>
  <c r="E105" i="30"/>
  <c r="F104" i="30"/>
  <c r="H104" i="30" s="1"/>
  <c r="E104" i="30"/>
  <c r="F103" i="30"/>
  <c r="G103" i="30" s="1"/>
  <c r="E103" i="30"/>
  <c r="F102" i="30"/>
  <c r="H102" i="30" s="1"/>
  <c r="E102" i="30"/>
  <c r="G102" i="30" s="1"/>
  <c r="H101" i="30"/>
  <c r="F101" i="30"/>
  <c r="G101" i="30" s="1"/>
  <c r="E101" i="30"/>
  <c r="F100" i="30"/>
  <c r="H100" i="30" s="1"/>
  <c r="E100" i="30"/>
  <c r="F99" i="30"/>
  <c r="G99" i="30" s="1"/>
  <c r="E99" i="30"/>
  <c r="F96" i="30"/>
  <c r="H96" i="30" s="1"/>
  <c r="E96" i="30"/>
  <c r="F95" i="30"/>
  <c r="H95" i="30" s="1"/>
  <c r="E95" i="30"/>
  <c r="H94" i="30"/>
  <c r="F94" i="30"/>
  <c r="G94" i="30" s="1"/>
  <c r="E94" i="30"/>
  <c r="F93" i="30"/>
  <c r="H93" i="30" s="1"/>
  <c r="E93" i="30"/>
  <c r="F92" i="30"/>
  <c r="H92" i="30" s="1"/>
  <c r="E92" i="30"/>
  <c r="F91" i="30"/>
  <c r="H91" i="30" s="1"/>
  <c r="E91" i="30"/>
  <c r="H90" i="30"/>
  <c r="F90" i="30"/>
  <c r="G90" i="30" s="1"/>
  <c r="E90" i="30"/>
  <c r="F89" i="30"/>
  <c r="H89" i="30" s="1"/>
  <c r="E89" i="30"/>
  <c r="F88" i="30"/>
  <c r="H88" i="30" s="1"/>
  <c r="E88" i="30"/>
  <c r="F87" i="30"/>
  <c r="H87" i="30" s="1"/>
  <c r="E87" i="30"/>
  <c r="F84" i="30"/>
  <c r="H84" i="30" s="1"/>
  <c r="E84" i="30"/>
  <c r="H83" i="30"/>
  <c r="F83" i="30"/>
  <c r="G83" i="30" s="1"/>
  <c r="E83" i="30"/>
  <c r="F82" i="30"/>
  <c r="H82" i="30" s="1"/>
  <c r="E82" i="30"/>
  <c r="F81" i="30"/>
  <c r="H81" i="30" s="1"/>
  <c r="E81" i="30"/>
  <c r="G81" i="30" s="1"/>
  <c r="F80" i="30"/>
  <c r="H80" i="30" s="1"/>
  <c r="E80" i="30"/>
  <c r="H79" i="30"/>
  <c r="F79" i="30"/>
  <c r="G79" i="30" s="1"/>
  <c r="E79" i="30"/>
  <c r="F78" i="30"/>
  <c r="H78" i="30" s="1"/>
  <c r="E78" i="30"/>
  <c r="F77" i="30"/>
  <c r="G77" i="30" s="1"/>
  <c r="E77" i="30"/>
  <c r="F76" i="30"/>
  <c r="H76" i="30" s="1"/>
  <c r="E76" i="30"/>
  <c r="H75" i="30"/>
  <c r="F75" i="30"/>
  <c r="G75" i="30" s="1"/>
  <c r="E75" i="30"/>
  <c r="F72" i="30"/>
  <c r="H72" i="30" s="1"/>
  <c r="E72" i="30"/>
  <c r="F71" i="30"/>
  <c r="H71" i="30" s="1"/>
  <c r="E71" i="30"/>
  <c r="H70" i="30"/>
  <c r="F70" i="30"/>
  <c r="G70" i="30" s="1"/>
  <c r="E70" i="30"/>
  <c r="F69" i="30"/>
  <c r="H69" i="30" s="1"/>
  <c r="E69" i="30"/>
  <c r="F68" i="30"/>
  <c r="H68" i="30" s="1"/>
  <c r="E68" i="30"/>
  <c r="F67" i="30"/>
  <c r="H67" i="30" s="1"/>
  <c r="E67" i="30"/>
  <c r="H66" i="30"/>
  <c r="F66" i="30"/>
  <c r="G66" i="30" s="1"/>
  <c r="E66" i="30"/>
  <c r="F65" i="30"/>
  <c r="H65" i="30" s="1"/>
  <c r="E65" i="30"/>
  <c r="F64" i="30"/>
  <c r="H64" i="30" s="1"/>
  <c r="E64" i="30"/>
  <c r="F63" i="30"/>
  <c r="H63" i="30" s="1"/>
  <c r="E63" i="30"/>
  <c r="F60" i="30"/>
  <c r="H60" i="30" s="1"/>
  <c r="E60" i="30"/>
  <c r="F59" i="30"/>
  <c r="H59" i="30" s="1"/>
  <c r="E59" i="30"/>
  <c r="G59" i="30" s="1"/>
  <c r="F58" i="30"/>
  <c r="H58" i="30" s="1"/>
  <c r="E58" i="30"/>
  <c r="F57" i="30"/>
  <c r="H57" i="30" s="1"/>
  <c r="E57" i="30"/>
  <c r="F56" i="30"/>
  <c r="H56" i="30" s="1"/>
  <c r="E56" i="30"/>
  <c r="F55" i="30"/>
  <c r="G55" i="30" s="1"/>
  <c r="E55" i="30"/>
  <c r="F54" i="30"/>
  <c r="H54" i="30" s="1"/>
  <c r="E54" i="30"/>
  <c r="F53" i="30"/>
  <c r="H53" i="30" s="1"/>
  <c r="E53" i="30"/>
  <c r="F52" i="30"/>
  <c r="H52" i="30" s="1"/>
  <c r="E52" i="30"/>
  <c r="F51" i="30"/>
  <c r="H51" i="30" s="1"/>
  <c r="E51" i="30"/>
  <c r="H48" i="30"/>
  <c r="F48" i="30"/>
  <c r="E48" i="30"/>
  <c r="G48" i="30" s="1"/>
  <c r="F47" i="30"/>
  <c r="H47" i="30" s="1"/>
  <c r="E47" i="30"/>
  <c r="F46" i="30"/>
  <c r="H46" i="30" s="1"/>
  <c r="E46" i="30"/>
  <c r="F45" i="30"/>
  <c r="H45" i="30" s="1"/>
  <c r="E45" i="30"/>
  <c r="H44" i="30"/>
  <c r="F44" i="30"/>
  <c r="E44" i="30"/>
  <c r="G44" i="30" s="1"/>
  <c r="F43" i="30"/>
  <c r="H43" i="30" s="1"/>
  <c r="E43" i="30"/>
  <c r="F42" i="30"/>
  <c r="G42" i="30" s="1"/>
  <c r="E42" i="30"/>
  <c r="F41" i="30"/>
  <c r="G41" i="30" s="1"/>
  <c r="E41" i="30"/>
  <c r="H40" i="30"/>
  <c r="F40" i="30"/>
  <c r="E40" i="30"/>
  <c r="G40" i="30" s="1"/>
  <c r="F39" i="30"/>
  <c r="H39" i="30" s="1"/>
  <c r="E39" i="30"/>
  <c r="H36" i="30"/>
  <c r="E36" i="30"/>
  <c r="H35" i="30"/>
  <c r="E35" i="30"/>
  <c r="H34" i="30"/>
  <c r="E34" i="30"/>
  <c r="H33" i="30"/>
  <c r="E33" i="30"/>
  <c r="H32" i="30"/>
  <c r="E32" i="30"/>
  <c r="H31" i="30"/>
  <c r="E31" i="30"/>
  <c r="H30" i="30"/>
  <c r="E30" i="30"/>
  <c r="H29" i="30"/>
  <c r="E29" i="30"/>
  <c r="H28" i="30"/>
  <c r="E28" i="30"/>
  <c r="H27" i="30"/>
  <c r="E27" i="30"/>
  <c r="F24" i="30"/>
  <c r="H24" i="30" s="1"/>
  <c r="E24" i="30"/>
  <c r="H23" i="30"/>
  <c r="F23" i="30"/>
  <c r="E23" i="30"/>
  <c r="F22" i="30"/>
  <c r="H22" i="30" s="1"/>
  <c r="E22" i="30"/>
  <c r="H21" i="30"/>
  <c r="F21" i="30"/>
  <c r="E21" i="30"/>
  <c r="F20" i="30"/>
  <c r="H20" i="30" s="1"/>
  <c r="E20" i="30"/>
  <c r="H19" i="30"/>
  <c r="F19" i="30"/>
  <c r="E19" i="30"/>
  <c r="F18" i="30"/>
  <c r="G18" i="30" s="1"/>
  <c r="E18" i="30"/>
  <c r="H17" i="30"/>
  <c r="F17" i="30"/>
  <c r="E17" i="30"/>
  <c r="F16" i="30"/>
  <c r="H16" i="30" s="1"/>
  <c r="E16" i="30"/>
  <c r="H15" i="30"/>
  <c r="F15" i="30"/>
  <c r="E15" i="30"/>
  <c r="D14" i="82"/>
  <c r="C14" i="82"/>
  <c r="B14" i="82"/>
  <c r="C39" i="81"/>
  <c r="C38" i="81"/>
  <c r="D38" i="81" s="1"/>
  <c r="D37" i="81"/>
  <c r="G37" i="81" s="1"/>
  <c r="D36" i="81"/>
  <c r="D35" i="81"/>
  <c r="G35" i="81" s="1"/>
  <c r="D34" i="81"/>
  <c r="G34" i="81" s="1"/>
  <c r="G33" i="81"/>
  <c r="G32" i="81"/>
  <c r="G31" i="81"/>
  <c r="G30" i="81"/>
  <c r="G29" i="81"/>
  <c r="G28" i="81"/>
  <c r="D28" i="81"/>
  <c r="C13" i="81"/>
  <c r="L8" i="81"/>
  <c r="K8" i="81"/>
  <c r="H8" i="81"/>
  <c r="G8" i="81"/>
  <c r="F8" i="81"/>
  <c r="D8" i="81"/>
  <c r="C8" i="81"/>
  <c r="N6" i="81"/>
  <c r="N8" i="81" s="1"/>
  <c r="M6" i="81"/>
  <c r="M8" i="81" s="1"/>
  <c r="L6" i="81"/>
  <c r="K6" i="81"/>
  <c r="J6" i="81"/>
  <c r="J8" i="81" s="1"/>
  <c r="I6" i="81"/>
  <c r="I8" i="81" s="1"/>
  <c r="H6" i="81"/>
  <c r="G6" i="81"/>
  <c r="F6" i="81"/>
  <c r="E6" i="81"/>
  <c r="E8" i="81" s="1"/>
  <c r="O8" i="81" s="1"/>
  <c r="C14" i="81" s="1"/>
  <c r="C15" i="81" s="1"/>
  <c r="D21" i="81" s="1"/>
  <c r="D6" i="81"/>
  <c r="C6" i="81"/>
  <c r="O6" i="78"/>
  <c r="N6" i="78"/>
  <c r="L6" i="78"/>
  <c r="K6" i="78"/>
  <c r="J6" i="78"/>
  <c r="I6" i="78"/>
  <c r="H6" i="78"/>
  <c r="G6" i="78"/>
  <c r="F6" i="78"/>
  <c r="E6" i="78"/>
  <c r="D6" i="78"/>
  <c r="C6" i="78"/>
  <c r="C39" i="78"/>
  <c r="C38" i="74"/>
  <c r="C38" i="77"/>
  <c r="C39" i="61"/>
  <c r="C37" i="75"/>
  <c r="C38" i="78"/>
  <c r="C36" i="75"/>
  <c r="C37" i="76"/>
  <c r="C37" i="74"/>
  <c r="C38" i="61"/>
  <c r="C39" i="31" l="1"/>
  <c r="T61" i="16"/>
  <c r="C26" i="31"/>
  <c r="G21" i="30"/>
  <c r="G15" i="30"/>
  <c r="G17" i="30"/>
  <c r="G19" i="30"/>
  <c r="G23" i="30"/>
  <c r="H139" i="30"/>
  <c r="G143" i="30"/>
  <c r="G135" i="30"/>
  <c r="G136" i="30"/>
  <c r="G140" i="30"/>
  <c r="G144" i="30"/>
  <c r="H125" i="30"/>
  <c r="H129" i="30"/>
  <c r="H130" i="30"/>
  <c r="G126" i="30"/>
  <c r="G124" i="30"/>
  <c r="G128" i="30"/>
  <c r="G132" i="30"/>
  <c r="H115" i="30"/>
  <c r="H116" i="30"/>
  <c r="G119" i="30"/>
  <c r="H111" i="30"/>
  <c r="G112" i="30"/>
  <c r="G120" i="30"/>
  <c r="H99" i="30"/>
  <c r="H107" i="30"/>
  <c r="H103" i="30"/>
  <c r="G100" i="30"/>
  <c r="G104" i="30"/>
  <c r="G108" i="30"/>
  <c r="G89" i="30"/>
  <c r="G93" i="30"/>
  <c r="G87" i="30"/>
  <c r="G91" i="30"/>
  <c r="G95" i="30"/>
  <c r="G88" i="30"/>
  <c r="G92" i="30"/>
  <c r="G96" i="30"/>
  <c r="H77" i="30"/>
  <c r="G78" i="30"/>
  <c r="G82" i="30"/>
  <c r="G76" i="30"/>
  <c r="G80" i="30"/>
  <c r="G84" i="30"/>
  <c r="G65" i="30"/>
  <c r="G69" i="30"/>
  <c r="G63" i="30"/>
  <c r="G67" i="30"/>
  <c r="G71" i="30"/>
  <c r="G64" i="30"/>
  <c r="G68" i="30"/>
  <c r="G72" i="30"/>
  <c r="G53" i="30"/>
  <c r="G57" i="30"/>
  <c r="G54" i="30"/>
  <c r="G58" i="30"/>
  <c r="G51" i="30"/>
  <c r="H55" i="30"/>
  <c r="G60" i="30"/>
  <c r="G52" i="30"/>
  <c r="G56" i="30"/>
  <c r="G45" i="30"/>
  <c r="G46" i="30"/>
  <c r="H42" i="30"/>
  <c r="H41" i="30"/>
  <c r="G39" i="30"/>
  <c r="G43" i="30"/>
  <c r="G47" i="30"/>
  <c r="G29" i="30"/>
  <c r="G33" i="30"/>
  <c r="G30" i="30"/>
  <c r="G34" i="30"/>
  <c r="G27" i="30"/>
  <c r="G31" i="30"/>
  <c r="G35" i="30"/>
  <c r="G28" i="30"/>
  <c r="G32" i="30"/>
  <c r="G36" i="30"/>
  <c r="G22" i="30"/>
  <c r="H18" i="30"/>
  <c r="G16" i="30"/>
  <c r="G20" i="30"/>
  <c r="G24" i="30"/>
  <c r="E28" i="81"/>
  <c r="E32" i="81"/>
  <c r="C22" i="81"/>
  <c r="D22" i="81" s="1"/>
  <c r="C23" i="81" s="1"/>
  <c r="D23" i="81" s="1"/>
  <c r="C24" i="81" s="1"/>
  <c r="E31" i="81"/>
  <c r="E30" i="81"/>
  <c r="E29" i="81"/>
  <c r="E33" i="81"/>
  <c r="G38" i="81"/>
  <c r="F38" i="81"/>
  <c r="E38" i="81"/>
  <c r="D39" i="81"/>
  <c r="E36" i="81"/>
  <c r="G36" i="81"/>
  <c r="E37" i="81"/>
  <c r="E34" i="81"/>
  <c r="E35" i="81"/>
  <c r="O6" i="81"/>
  <c r="C37" i="77"/>
  <c r="G38" i="74"/>
  <c r="G38" i="76"/>
  <c r="C34" i="75"/>
  <c r="C35" i="75"/>
  <c r="C33" i="75"/>
  <c r="C32" i="75"/>
  <c r="C35" i="77"/>
  <c r="C34" i="77"/>
  <c r="C33" i="77"/>
  <c r="C36" i="76"/>
  <c r="C35" i="76"/>
  <c r="C34" i="76"/>
  <c r="C33" i="76"/>
  <c r="C32" i="76"/>
  <c r="C31" i="76"/>
  <c r="C30" i="76"/>
  <c r="C29" i="76"/>
  <c r="D29" i="76" s="1"/>
  <c r="C36" i="77"/>
  <c r="C32" i="77"/>
  <c r="C31" i="77"/>
  <c r="C30" i="77"/>
  <c r="C29" i="77"/>
  <c r="C28" i="77"/>
  <c r="C27" i="77"/>
  <c r="D27" i="77" s="1"/>
  <c r="C36" i="74"/>
  <c r="C37" i="61"/>
  <c r="C36" i="61"/>
  <c r="C35" i="61"/>
  <c r="C34" i="61"/>
  <c r="C33" i="61"/>
  <c r="C32" i="61"/>
  <c r="C31" i="61"/>
  <c r="C30" i="61"/>
  <c r="C31" i="75"/>
  <c r="C30" i="75"/>
  <c r="C29" i="75"/>
  <c r="C28" i="75"/>
  <c r="C27" i="75"/>
  <c r="C13" i="61"/>
  <c r="D39" i="78"/>
  <c r="G39" i="78" s="1"/>
  <c r="D38" i="78"/>
  <c r="E38" i="78" s="1"/>
  <c r="D37" i="78"/>
  <c r="E37" i="78" s="1"/>
  <c r="D34" i="78"/>
  <c r="G33" i="78"/>
  <c r="G32" i="78"/>
  <c r="G31" i="78"/>
  <c r="G30" i="78"/>
  <c r="G29" i="78"/>
  <c r="D28" i="78"/>
  <c r="G28" i="78" s="1"/>
  <c r="N8" i="78"/>
  <c r="I8" i="78"/>
  <c r="H8" i="78"/>
  <c r="G8" i="78"/>
  <c r="F8" i="78"/>
  <c r="E8" i="78"/>
  <c r="D8" i="78"/>
  <c r="C8" i="78"/>
  <c r="M6" i="78"/>
  <c r="M8" i="78" s="1"/>
  <c r="L8" i="78"/>
  <c r="K8" i="78"/>
  <c r="J8" i="78"/>
  <c r="D38" i="77"/>
  <c r="G38" i="77" s="1"/>
  <c r="N8" i="77"/>
  <c r="J8" i="77"/>
  <c r="I8" i="77"/>
  <c r="H8" i="77"/>
  <c r="G8" i="77"/>
  <c r="F8" i="77"/>
  <c r="N6" i="77"/>
  <c r="M6" i="77"/>
  <c r="M8" i="77" s="1"/>
  <c r="L6" i="77"/>
  <c r="L8" i="77" s="1"/>
  <c r="K6" i="77"/>
  <c r="K8" i="77" s="1"/>
  <c r="J6" i="77"/>
  <c r="I6" i="77"/>
  <c r="H6" i="77"/>
  <c r="G6" i="77"/>
  <c r="F6" i="77"/>
  <c r="E6" i="77"/>
  <c r="E8" i="77" s="1"/>
  <c r="D6" i="77"/>
  <c r="D8" i="77" s="1"/>
  <c r="C6" i="77"/>
  <c r="C8" i="77" s="1"/>
  <c r="C13" i="74"/>
  <c r="C10" i="76"/>
  <c r="C12" i="76" s="1"/>
  <c r="D38" i="76"/>
  <c r="D27" i="76"/>
  <c r="L8" i="76"/>
  <c r="H8" i="76"/>
  <c r="F8" i="76"/>
  <c r="E8" i="76"/>
  <c r="N6" i="76"/>
  <c r="N8" i="76" s="1"/>
  <c r="M6" i="76"/>
  <c r="M8" i="76" s="1"/>
  <c r="L6" i="76"/>
  <c r="K6" i="76"/>
  <c r="K8" i="76" s="1"/>
  <c r="J6" i="76"/>
  <c r="J8" i="76" s="1"/>
  <c r="I6" i="76"/>
  <c r="I8" i="76" s="1"/>
  <c r="H6" i="76"/>
  <c r="G6" i="76"/>
  <c r="G8" i="76" s="1"/>
  <c r="F6" i="76"/>
  <c r="E6" i="76"/>
  <c r="D37" i="75"/>
  <c r="E37" i="75" s="1"/>
  <c r="C26" i="75"/>
  <c r="D26" i="75" s="1"/>
  <c r="I8" i="75"/>
  <c r="H8" i="75"/>
  <c r="F8" i="75"/>
  <c r="N6" i="75"/>
  <c r="N8" i="75" s="1"/>
  <c r="M6" i="75"/>
  <c r="M8" i="75" s="1"/>
  <c r="L6" i="75"/>
  <c r="L8" i="75" s="1"/>
  <c r="K6" i="75"/>
  <c r="K8" i="75" s="1"/>
  <c r="J6" i="75"/>
  <c r="J8" i="75" s="1"/>
  <c r="I6" i="75"/>
  <c r="H6" i="75"/>
  <c r="G6" i="75"/>
  <c r="G8" i="75" s="1"/>
  <c r="F6" i="75"/>
  <c r="E6" i="75"/>
  <c r="E8" i="75" s="1"/>
  <c r="D6" i="75"/>
  <c r="D8" i="75" s="1"/>
  <c r="C6" i="75"/>
  <c r="C8" i="75" s="1"/>
  <c r="G40" i="81" l="1"/>
  <c r="F36" i="81"/>
  <c r="F33" i="81"/>
  <c r="F29" i="81"/>
  <c r="F34" i="81"/>
  <c r="F28" i="81"/>
  <c r="F35" i="81"/>
  <c r="F32" i="81"/>
  <c r="F37" i="81"/>
  <c r="F30" i="81"/>
  <c r="F39" i="81"/>
  <c r="E39" i="81"/>
  <c r="G39" i="81"/>
  <c r="F31" i="81"/>
  <c r="G37" i="75"/>
  <c r="E38" i="76"/>
  <c r="D28" i="77"/>
  <c r="D29" i="77" s="1"/>
  <c r="D30" i="77" s="1"/>
  <c r="D35" i="78"/>
  <c r="D36" i="78" s="1"/>
  <c r="G37" i="78"/>
  <c r="O8" i="78"/>
  <c r="C14" i="78" s="1"/>
  <c r="G38" i="78"/>
  <c r="C13" i="78"/>
  <c r="C15" i="78" s="1"/>
  <c r="D21" i="78" s="1"/>
  <c r="E39" i="78"/>
  <c r="O8" i="76"/>
  <c r="C13" i="76" s="1"/>
  <c r="C14" i="76" s="1"/>
  <c r="D20" i="76" s="1"/>
  <c r="O8" i="77"/>
  <c r="C14" i="77" s="1"/>
  <c r="C15" i="77" s="1"/>
  <c r="D20" i="77" s="1"/>
  <c r="E38" i="77"/>
  <c r="D30" i="76"/>
  <c r="D31" i="76" s="1"/>
  <c r="O8" i="75"/>
  <c r="D27" i="75"/>
  <c r="C35" i="74"/>
  <c r="C34" i="74"/>
  <c r="C33" i="74"/>
  <c r="G31" i="76" l="1"/>
  <c r="G30" i="76"/>
  <c r="G29" i="76"/>
  <c r="G28" i="76"/>
  <c r="G27" i="76"/>
  <c r="C21" i="77"/>
  <c r="D21" i="77" s="1"/>
  <c r="C22" i="77" s="1"/>
  <c r="D22" i="77" s="1"/>
  <c r="C23" i="77" s="1"/>
  <c r="G27" i="77"/>
  <c r="G28" i="77"/>
  <c r="G30" i="77"/>
  <c r="G29" i="77"/>
  <c r="E32" i="78"/>
  <c r="C22" i="78"/>
  <c r="D22" i="78" s="1"/>
  <c r="C23" i="78" s="1"/>
  <c r="D23" i="78" s="1"/>
  <c r="C24" i="78" s="1"/>
  <c r="E30" i="78"/>
  <c r="E31" i="78"/>
  <c r="E29" i="78"/>
  <c r="E33" i="78"/>
  <c r="E34" i="78"/>
  <c r="E28" i="78"/>
  <c r="C14" i="75"/>
  <c r="C15" i="75" s="1"/>
  <c r="D19" i="75" s="1"/>
  <c r="G27" i="75" s="1"/>
  <c r="E27" i="77"/>
  <c r="E28" i="77"/>
  <c r="F28" i="77"/>
  <c r="E29" i="77"/>
  <c r="E30" i="77"/>
  <c r="D31" i="77"/>
  <c r="G31" i="77" s="1"/>
  <c r="E28" i="76"/>
  <c r="E27" i="76"/>
  <c r="C21" i="76"/>
  <c r="F27" i="76" s="1"/>
  <c r="D32" i="76"/>
  <c r="G32" i="76" s="1"/>
  <c r="E31" i="76"/>
  <c r="E30" i="76"/>
  <c r="E29" i="76"/>
  <c r="D28" i="75"/>
  <c r="G28" i="75" l="1"/>
  <c r="G26" i="75"/>
  <c r="F38" i="77"/>
  <c r="F30" i="77"/>
  <c r="F29" i="77"/>
  <c r="F27" i="77"/>
  <c r="G36" i="78"/>
  <c r="E36" i="78"/>
  <c r="E35" i="78"/>
  <c r="F37" i="78"/>
  <c r="F29" i="78"/>
  <c r="F39" i="78"/>
  <c r="F36" i="78"/>
  <c r="F30" i="78"/>
  <c r="G35" i="78"/>
  <c r="F28" i="78"/>
  <c r="F38" i="78"/>
  <c r="G34" i="78"/>
  <c r="F33" i="78"/>
  <c r="F31" i="78"/>
  <c r="F35" i="78"/>
  <c r="F34" i="78"/>
  <c r="F32" i="78"/>
  <c r="E26" i="75"/>
  <c r="E27" i="75"/>
  <c r="C20" i="75"/>
  <c r="F26" i="75" s="1"/>
  <c r="D32" i="77"/>
  <c r="G32" i="77" s="1"/>
  <c r="F31" i="77"/>
  <c r="E31" i="77"/>
  <c r="F30" i="76"/>
  <c r="F31" i="76"/>
  <c r="E32" i="76"/>
  <c r="F32" i="76"/>
  <c r="D33" i="76"/>
  <c r="G33" i="76" s="1"/>
  <c r="D21" i="76"/>
  <c r="F29" i="76"/>
  <c r="F28" i="76"/>
  <c r="D29" i="75"/>
  <c r="G29" i="75" s="1"/>
  <c r="E28" i="75"/>
  <c r="G40" i="78" l="1"/>
  <c r="F28" i="75"/>
  <c r="D20" i="75"/>
  <c r="F27" i="75"/>
  <c r="F32" i="77"/>
  <c r="E32" i="77"/>
  <c r="D33" i="77"/>
  <c r="G33" i="77" s="1"/>
  <c r="C22" i="76"/>
  <c r="D34" i="76"/>
  <c r="G34" i="76" s="1"/>
  <c r="F33" i="76"/>
  <c r="E33" i="76"/>
  <c r="D30" i="75"/>
  <c r="G30" i="75" s="1"/>
  <c r="E29" i="75"/>
  <c r="F29" i="75"/>
  <c r="C21" i="75" l="1"/>
  <c r="D21" i="75" s="1"/>
  <c r="D34" i="77"/>
  <c r="G34" i="77" s="1"/>
  <c r="E33" i="77"/>
  <c r="F33" i="77"/>
  <c r="E34" i="76"/>
  <c r="F34" i="76"/>
  <c r="D35" i="76"/>
  <c r="D22" i="76"/>
  <c r="D31" i="75"/>
  <c r="G31" i="75" s="1"/>
  <c r="F30" i="75"/>
  <c r="E30" i="75"/>
  <c r="D36" i="76" l="1"/>
  <c r="D37" i="76" s="1"/>
  <c r="G35" i="76"/>
  <c r="F34" i="77"/>
  <c r="E34" i="77"/>
  <c r="D35" i="77"/>
  <c r="F35" i="76"/>
  <c r="E35" i="76"/>
  <c r="C23" i="76"/>
  <c r="F38" i="76"/>
  <c r="D32" i="75"/>
  <c r="G32" i="75" s="1"/>
  <c r="F31" i="75"/>
  <c r="E31" i="75"/>
  <c r="C22" i="75"/>
  <c r="G37" i="76" l="1"/>
  <c r="E37" i="76"/>
  <c r="D36" i="77"/>
  <c r="E36" i="77" s="1"/>
  <c r="G35" i="77"/>
  <c r="E36" i="76"/>
  <c r="G36" i="76"/>
  <c r="E35" i="77"/>
  <c r="F35" i="77"/>
  <c r="F36" i="76"/>
  <c r="F37" i="76"/>
  <c r="F37" i="75"/>
  <c r="D33" i="75"/>
  <c r="G33" i="75" s="1"/>
  <c r="F32" i="75"/>
  <c r="E32" i="75"/>
  <c r="G39" i="76" l="1"/>
  <c r="F36" i="77"/>
  <c r="D37" i="77"/>
  <c r="G36" i="77"/>
  <c r="D34" i="75"/>
  <c r="F33" i="75"/>
  <c r="E33" i="75"/>
  <c r="D35" i="75" l="1"/>
  <c r="G34" i="75"/>
  <c r="E37" i="77"/>
  <c r="G37" i="77"/>
  <c r="G39" i="77" s="1"/>
  <c r="F37" i="77"/>
  <c r="F34" i="75"/>
  <c r="E34" i="75"/>
  <c r="D38" i="74"/>
  <c r="G37" i="74" s="1"/>
  <c r="D27" i="74"/>
  <c r="K8" i="74"/>
  <c r="J8" i="74"/>
  <c r="I8" i="74"/>
  <c r="D8" i="74"/>
  <c r="C8" i="74"/>
  <c r="N6" i="74"/>
  <c r="N8" i="74" s="1"/>
  <c r="M6" i="74"/>
  <c r="M8" i="74" s="1"/>
  <c r="L6" i="74"/>
  <c r="L8" i="74" s="1"/>
  <c r="K6" i="74"/>
  <c r="J6" i="74"/>
  <c r="I6" i="74"/>
  <c r="H8" i="74"/>
  <c r="G8" i="74"/>
  <c r="F8" i="74"/>
  <c r="E8" i="74"/>
  <c r="N15" i="73"/>
  <c r="M15" i="73"/>
  <c r="L15" i="73"/>
  <c r="K15" i="73"/>
  <c r="J15" i="73"/>
  <c r="AI14" i="73"/>
  <c r="AD14" i="73"/>
  <c r="W14" i="73"/>
  <c r="V14" i="73"/>
  <c r="U14" i="73"/>
  <c r="T14" i="73"/>
  <c r="AI13" i="73"/>
  <c r="AD13" i="73"/>
  <c r="U13" i="73"/>
  <c r="V13" i="73" s="1"/>
  <c r="T13" i="73"/>
  <c r="AI12" i="73"/>
  <c r="AD12" i="73"/>
  <c r="U12" i="73"/>
  <c r="V12" i="73" s="1"/>
  <c r="T12" i="73"/>
  <c r="AI11" i="73"/>
  <c r="AD11" i="73"/>
  <c r="U11" i="73"/>
  <c r="W11" i="73" s="1"/>
  <c r="T11" i="73"/>
  <c r="AI10" i="73"/>
  <c r="AD10" i="73"/>
  <c r="U10" i="73"/>
  <c r="W10" i="73" s="1"/>
  <c r="T10" i="73"/>
  <c r="AI9" i="73"/>
  <c r="AD9" i="73"/>
  <c r="W9" i="73"/>
  <c r="U9" i="73"/>
  <c r="T9" i="73"/>
  <c r="I15" i="73"/>
  <c r="AI8" i="73"/>
  <c r="AD8" i="73"/>
  <c r="U8" i="73"/>
  <c r="V8" i="73" s="1"/>
  <c r="T8" i="73"/>
  <c r="AI7" i="73"/>
  <c r="AD7" i="73"/>
  <c r="W7" i="73"/>
  <c r="U7" i="73"/>
  <c r="V7" i="73" s="1"/>
  <c r="T7" i="73"/>
  <c r="AI6" i="73"/>
  <c r="AD6" i="73"/>
  <c r="U6" i="73"/>
  <c r="W6" i="73" s="1"/>
  <c r="T6" i="73"/>
  <c r="AI5" i="73"/>
  <c r="AD5" i="73"/>
  <c r="W5" i="73"/>
  <c r="T5" i="73"/>
  <c r="V5" i="73" s="1"/>
  <c r="AI4" i="73"/>
  <c r="AD4" i="73"/>
  <c r="U4" i="73"/>
  <c r="W4" i="73" s="1"/>
  <c r="T4" i="73"/>
  <c r="AI3" i="73"/>
  <c r="AD3" i="73"/>
  <c r="W3" i="73"/>
  <c r="V3" i="73"/>
  <c r="U3" i="73"/>
  <c r="T3" i="73"/>
  <c r="O15" i="73" l="1"/>
  <c r="G35" i="75"/>
  <c r="D36" i="75"/>
  <c r="F35" i="75"/>
  <c r="E35" i="75"/>
  <c r="D33" i="74"/>
  <c r="D34" i="74" s="1"/>
  <c r="D35" i="74" s="1"/>
  <c r="D36" i="74" s="1"/>
  <c r="D37" i="74" s="1"/>
  <c r="G36" i="74" s="1"/>
  <c r="O8" i="74"/>
  <c r="C14" i="74" s="1"/>
  <c r="C15" i="74" s="1"/>
  <c r="D20" i="74" s="1"/>
  <c r="E38" i="74"/>
  <c r="V9" i="73"/>
  <c r="V10" i="73"/>
  <c r="W8" i="73"/>
  <c r="V6" i="73"/>
  <c r="W13" i="73"/>
  <c r="W12" i="73"/>
  <c r="V4" i="73"/>
  <c r="V11" i="73"/>
  <c r="E36" i="75" l="1"/>
  <c r="F36" i="75"/>
  <c r="G36" i="75"/>
  <c r="G38" i="75" s="1"/>
  <c r="E37" i="74"/>
  <c r="E36" i="74"/>
  <c r="C21" i="74"/>
  <c r="D21" i="74" s="1"/>
  <c r="E35" i="74"/>
  <c r="E32" i="74"/>
  <c r="E30" i="74"/>
  <c r="E29" i="74"/>
  <c r="E34" i="74"/>
  <c r="E31" i="74"/>
  <c r="E28" i="74"/>
  <c r="E33" i="74"/>
  <c r="E27" i="74"/>
  <c r="F36" i="74"/>
  <c r="F33" i="74"/>
  <c r="F32" i="74" l="1"/>
  <c r="C22" i="74"/>
  <c r="G35" i="74"/>
  <c r="G34" i="74"/>
  <c r="G33" i="74"/>
  <c r="G30" i="74"/>
  <c r="G28" i="74"/>
  <c r="G27" i="74"/>
  <c r="G32" i="74"/>
  <c r="G29" i="74"/>
  <c r="G31" i="74"/>
  <c r="F35" i="74"/>
  <c r="F30" i="74"/>
  <c r="F34" i="74"/>
  <c r="F27" i="74"/>
  <c r="F28" i="74"/>
  <c r="F31" i="74"/>
  <c r="F29" i="74"/>
  <c r="G39" i="74" l="1"/>
  <c r="D22" i="74"/>
  <c r="C23" i="74" l="1"/>
  <c r="F37" i="74" s="1"/>
  <c r="F38" i="74"/>
  <c r="K13" i="29" l="1"/>
  <c r="F11" i="29"/>
  <c r="H11" i="29" s="1"/>
  <c r="F10" i="29"/>
  <c r="H10" i="29" s="1"/>
  <c r="F9" i="29"/>
  <c r="H9" i="29" s="1"/>
  <c r="J9" i="29" s="1"/>
  <c r="L9" i="29" s="1"/>
  <c r="F8" i="29"/>
  <c r="H8" i="29" s="1"/>
  <c r="J8" i="29" s="1"/>
  <c r="L8" i="29" s="1"/>
  <c r="F7" i="29"/>
  <c r="H7" i="29" s="1"/>
  <c r="J7" i="29" s="1"/>
  <c r="L7" i="29" s="1"/>
  <c r="F6" i="29"/>
  <c r="H6" i="29" s="1"/>
  <c r="F5" i="29"/>
  <c r="H5" i="29" s="1"/>
  <c r="F4" i="29"/>
  <c r="H4" i="29" s="1"/>
  <c r="D3" i="29"/>
  <c r="J5" i="29" l="1"/>
  <c r="L5" i="29" s="1"/>
  <c r="J6" i="29"/>
  <c r="L6" i="29" s="1"/>
  <c r="J4" i="29"/>
  <c r="L4" i="29" s="1"/>
  <c r="J10" i="29"/>
  <c r="L10" i="29" s="1"/>
  <c r="J11" i="29"/>
  <c r="L11" i="29" s="1"/>
  <c r="B13" i="29"/>
  <c r="F3" i="29"/>
  <c r="D13" i="29"/>
  <c r="H3" i="29" l="1"/>
  <c r="J3" i="29" s="1"/>
  <c r="F13" i="29"/>
  <c r="H13" i="29" l="1"/>
  <c r="J13" i="29" l="1"/>
  <c r="L3" i="29"/>
  <c r="E13" i="32" l="1"/>
  <c r="E7" i="32"/>
  <c r="E8" i="32"/>
  <c r="E9" i="32"/>
  <c r="E10" i="32"/>
  <c r="E11" i="32"/>
  <c r="E12" i="32"/>
  <c r="C12" i="31"/>
  <c r="C4" i="31" l="1"/>
  <c r="C6" i="31"/>
  <c r="G6" i="31"/>
  <c r="C7" i="31"/>
  <c r="G7" i="31"/>
  <c r="C8" i="31"/>
  <c r="G8" i="31"/>
  <c r="C9" i="31"/>
  <c r="G9" i="31"/>
  <c r="C10" i="31"/>
  <c r="G10" i="31"/>
  <c r="C11" i="31"/>
  <c r="G11" i="31"/>
  <c r="G12" i="31"/>
  <c r="E11" i="30"/>
  <c r="E10" i="30"/>
  <c r="E9" i="30"/>
  <c r="F7" i="30"/>
  <c r="H7" i="30" s="1"/>
  <c r="F8" i="30"/>
  <c r="H8" i="30" s="1"/>
  <c r="F9" i="30"/>
  <c r="H9" i="30" s="1"/>
  <c r="F10" i="30"/>
  <c r="F11" i="30"/>
  <c r="H11" i="30" s="1"/>
  <c r="F12" i="30"/>
  <c r="G10" i="30" l="1"/>
  <c r="H10" i="30"/>
  <c r="G9" i="30"/>
  <c r="G11" i="30"/>
  <c r="H12" i="30"/>
  <c r="C29" i="61" l="1"/>
  <c r="C28" i="61"/>
  <c r="D28" i="61" s="1"/>
  <c r="D39" i="61"/>
  <c r="G39" i="61" s="1"/>
  <c r="N8" i="61"/>
  <c r="M8" i="61"/>
  <c r="D8" i="61"/>
  <c r="C8" i="61"/>
  <c r="N6" i="61"/>
  <c r="M6" i="61"/>
  <c r="L6" i="61"/>
  <c r="L8" i="61" s="1"/>
  <c r="K6" i="61"/>
  <c r="K8" i="61" s="1"/>
  <c r="J6" i="61"/>
  <c r="J8" i="61" s="1"/>
  <c r="I6" i="61"/>
  <c r="I8" i="61" s="1"/>
  <c r="H6" i="61"/>
  <c r="H8" i="61" s="1"/>
  <c r="G6" i="61"/>
  <c r="G8" i="61" s="1"/>
  <c r="F6" i="61"/>
  <c r="F8" i="61" s="1"/>
  <c r="E6" i="61"/>
  <c r="E8" i="61" s="1"/>
  <c r="D6" i="61"/>
  <c r="C6" i="61"/>
  <c r="D29" i="61" l="1"/>
  <c r="D30" i="61" s="1"/>
  <c r="D31" i="61" s="1"/>
  <c r="D32" i="61" s="1"/>
  <c r="D33" i="61" s="1"/>
  <c r="D34" i="61" s="1"/>
  <c r="O8" i="61"/>
  <c r="C14" i="61" s="1"/>
  <c r="C15" i="61" s="1"/>
  <c r="D21" i="61" s="1"/>
  <c r="E39" i="61"/>
  <c r="G32" i="61" l="1"/>
  <c r="G29" i="61"/>
  <c r="G28" i="61"/>
  <c r="G31" i="61"/>
  <c r="G30" i="61"/>
  <c r="G34" i="61"/>
  <c r="G33" i="61"/>
  <c r="C22" i="61"/>
  <c r="D22" i="61" s="1"/>
  <c r="C23" i="61" s="1"/>
  <c r="D23" i="61" s="1"/>
  <c r="C24" i="61" s="1"/>
  <c r="E34" i="61"/>
  <c r="E33" i="61"/>
  <c r="D35" i="61"/>
  <c r="G35" i="61" s="1"/>
  <c r="E30" i="61"/>
  <c r="E31" i="61"/>
  <c r="E32" i="61"/>
  <c r="E29" i="61"/>
  <c r="E28" i="61"/>
  <c r="F29" i="61" l="1"/>
  <c r="F34" i="61"/>
  <c r="F31" i="61"/>
  <c r="F32" i="61"/>
  <c r="F30" i="61"/>
  <c r="F28" i="61"/>
  <c r="F33" i="61"/>
  <c r="F39" i="61"/>
  <c r="F35" i="61"/>
  <c r="D36" i="61"/>
  <c r="E35" i="61"/>
  <c r="D37" i="61" l="1"/>
  <c r="E37" i="61" s="1"/>
  <c r="G36" i="61"/>
  <c r="E36" i="61"/>
  <c r="F36" i="61"/>
  <c r="F37" i="61" l="1"/>
  <c r="G37" i="61"/>
  <c r="D38" i="61"/>
  <c r="E38" i="61" l="1"/>
  <c r="G38" i="61"/>
  <c r="G40" i="61" s="1"/>
  <c r="F38" i="61"/>
  <c r="H6" i="24" l="1"/>
  <c r="L32" i="16" l="1"/>
  <c r="D32" i="16"/>
  <c r="G5" i="31" l="1"/>
  <c r="G4" i="31"/>
  <c r="D14" i="32"/>
  <c r="C14" i="32"/>
  <c r="E6" i="32"/>
  <c r="E5" i="32"/>
  <c r="E4" i="32"/>
  <c r="F13" i="31"/>
  <c r="E13" i="31"/>
  <c r="D13" i="31"/>
  <c r="C5" i="31"/>
  <c r="E12" i="30"/>
  <c r="G12" i="30" s="1"/>
  <c r="E8" i="30"/>
  <c r="G8" i="30" s="1"/>
  <c r="E7" i="30"/>
  <c r="G7" i="30" s="1"/>
  <c r="F6" i="30"/>
  <c r="H6" i="30" s="1"/>
  <c r="E6" i="30"/>
  <c r="F5" i="30"/>
  <c r="H5" i="30" s="1"/>
  <c r="E5" i="30"/>
  <c r="F4" i="30"/>
  <c r="H4" i="30" s="1"/>
  <c r="E4" i="30"/>
  <c r="F3" i="30"/>
  <c r="H3" i="30" s="1"/>
  <c r="E3" i="30"/>
  <c r="S32" i="16"/>
  <c r="R32" i="16"/>
  <c r="M32" i="16"/>
  <c r="K32" i="16"/>
  <c r="N32" i="16"/>
  <c r="V32" i="16"/>
  <c r="Q32" i="16"/>
  <c r="I32" i="16"/>
  <c r="G32" i="16"/>
  <c r="F32" i="16"/>
  <c r="E32" i="16"/>
  <c r="H5" i="16"/>
  <c r="J5" i="16" s="1"/>
  <c r="C13" i="31" l="1"/>
  <c r="G4" i="30"/>
  <c r="G3" i="30"/>
  <c r="G5" i="30"/>
  <c r="G6" i="30"/>
  <c r="H32" i="16"/>
  <c r="J32" i="16" l="1"/>
  <c r="O32" i="16" l="1"/>
  <c r="T32"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Rachel</author>
  </authors>
  <commentList>
    <comment ref="J9" authorId="0" shapeId="0" xr:uid="{E99720A3-B205-4093-BD1C-FC4750067F06}">
      <text>
        <r>
          <rPr>
            <b/>
            <sz val="9"/>
            <color indexed="81"/>
            <rFont val="Tahoma"/>
            <charset val="1"/>
          </rPr>
          <t>Rachel:</t>
        </r>
        <r>
          <rPr>
            <sz val="9"/>
            <color indexed="81"/>
            <rFont val="Tahoma"/>
            <charset val="1"/>
          </rPr>
          <t xml:space="preserve">
Doesn't match PAR's YE presentation. Cell not calculating either.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Heather McConnell</author>
    <author>Rachel</author>
    <author>Rachel Porter</author>
  </authors>
  <commentList>
    <comment ref="D3" authorId="0" shapeId="0" xr:uid="{00000000-0006-0000-0000-000001000000}">
      <text>
        <r>
          <rPr>
            <sz val="9"/>
            <color indexed="81"/>
            <rFont val="Tahoma"/>
            <family val="2"/>
          </rPr>
          <t>Business Development, Presentation preparation, FBCBA, Website, Bar Nominations Committee</t>
        </r>
      </text>
    </comment>
    <comment ref="K3" authorId="1" shapeId="0" xr:uid="{44B24966-21F0-4A5B-8E3A-DD3C8621163B}">
      <text>
        <r>
          <rPr>
            <b/>
            <sz val="9"/>
            <color indexed="81"/>
            <rFont val="Tahoma"/>
            <family val="2"/>
          </rPr>
          <t>Rachel:</t>
        </r>
        <r>
          <rPr>
            <sz val="9"/>
            <color indexed="81"/>
            <rFont val="Tahoma"/>
            <family val="2"/>
          </rPr>
          <t xml:space="preserve">
After Discounts</t>
        </r>
      </text>
    </comment>
    <comment ref="L3" authorId="2" shapeId="0" xr:uid="{00000000-0006-0000-0000-000002000000}">
      <text>
        <r>
          <rPr>
            <sz val="9"/>
            <color indexed="81"/>
            <rFont val="Tahoma"/>
            <family val="2"/>
          </rPr>
          <t>Includes Expenses that have been written off</t>
        </r>
      </text>
    </comment>
    <comment ref="T6" authorId="1" shapeId="0" xr:uid="{3169CED5-0ECD-42F6-B481-5BF2FE09AAAE}">
      <text>
        <r>
          <rPr>
            <b/>
            <sz val="9"/>
            <color indexed="81"/>
            <rFont val="Tahoma"/>
            <charset val="1"/>
          </rPr>
          <t>Rachel:</t>
        </r>
        <r>
          <rPr>
            <sz val="9"/>
            <color indexed="81"/>
            <rFont val="Tahoma"/>
            <charset val="1"/>
          </rPr>
          <t xml:space="preserve">
Add JPB in March - $22,194.40</t>
        </r>
      </text>
    </comment>
    <comment ref="T35" authorId="1" shapeId="0" xr:uid="{351B3145-BCCC-49FF-911E-B28D4109DCB1}">
      <text>
        <r>
          <rPr>
            <b/>
            <sz val="9"/>
            <color indexed="81"/>
            <rFont val="Tahoma"/>
            <charset val="1"/>
          </rPr>
          <t>Rachel:</t>
        </r>
        <r>
          <rPr>
            <sz val="9"/>
            <color indexed="81"/>
            <rFont val="Tahoma"/>
            <charset val="1"/>
          </rPr>
          <t xml:space="preserve">
Add JPB in March - $22,194.40</t>
        </r>
      </text>
    </comment>
    <comment ref="T65" authorId="1" shapeId="0" xr:uid="{F4FED76C-EBAA-4828-A0EC-7D1D2DF120D8}">
      <text>
        <r>
          <rPr>
            <b/>
            <sz val="9"/>
            <color indexed="81"/>
            <rFont val="Tahoma"/>
            <charset val="1"/>
          </rPr>
          <t>Rachel:</t>
        </r>
        <r>
          <rPr>
            <sz val="9"/>
            <color indexed="81"/>
            <rFont val="Tahoma"/>
            <charset val="1"/>
          </rPr>
          <t xml:space="preserve">
JPB started mid month
</t>
        </r>
      </text>
    </comment>
    <comment ref="O71" authorId="1" shapeId="0" xr:uid="{8EDF70D5-1446-410E-BBBC-BEEE9D1F6FD4}">
      <text>
        <r>
          <rPr>
            <b/>
            <sz val="9"/>
            <color indexed="81"/>
            <rFont val="Tahoma"/>
            <charset val="1"/>
          </rPr>
          <t>Rachel:</t>
        </r>
        <r>
          <rPr>
            <sz val="9"/>
            <color indexed="81"/>
            <rFont val="Tahoma"/>
            <charset val="1"/>
          </rPr>
          <t xml:space="preserve">
JPB started mid month</t>
        </r>
      </text>
    </comment>
    <comment ref="O103" authorId="1" shapeId="0" xr:uid="{7C3E1F24-C456-4056-AE61-AAB8997E4AFF}">
      <text>
        <r>
          <rPr>
            <b/>
            <sz val="9"/>
            <color indexed="81"/>
            <rFont val="Tahoma"/>
            <family val="2"/>
          </rPr>
          <t>Rachel:</t>
        </r>
        <r>
          <rPr>
            <sz val="9"/>
            <color indexed="81"/>
            <rFont val="Tahoma"/>
            <family val="2"/>
          </rPr>
          <t xml:space="preserve">
Is this number right?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Heather McConnell</author>
    <author>Rachel</author>
    <author>Rachel Porter</author>
  </authors>
  <commentList>
    <comment ref="C2" authorId="0" shapeId="0" xr:uid="{962FA8E8-C40C-4FE8-AD76-2BFCE48C312A}">
      <text>
        <r>
          <rPr>
            <sz val="9"/>
            <color indexed="81"/>
            <rFont val="Tahoma"/>
            <family val="2"/>
          </rPr>
          <t>Business Development, Presentation preparation, FBCBA, Website, Bar Nominations Committee</t>
        </r>
      </text>
    </comment>
    <comment ref="J2" authorId="1" shapeId="0" xr:uid="{B1D06B6A-52BA-400E-9A8B-7E4CC49D7FFC}">
      <text>
        <r>
          <rPr>
            <b/>
            <sz val="9"/>
            <color indexed="81"/>
            <rFont val="Tahoma"/>
            <family val="2"/>
          </rPr>
          <t>Rachel:</t>
        </r>
        <r>
          <rPr>
            <sz val="9"/>
            <color indexed="81"/>
            <rFont val="Tahoma"/>
            <family val="2"/>
          </rPr>
          <t xml:space="preserve">
After Discounts</t>
        </r>
      </text>
    </comment>
    <comment ref="K2" authorId="2" shapeId="0" xr:uid="{49C499B1-83F1-494D-86BB-293772C82772}">
      <text>
        <r>
          <rPr>
            <sz val="9"/>
            <color indexed="81"/>
            <rFont val="Tahoma"/>
            <family val="2"/>
          </rPr>
          <t>Includes Expenses that have been written off</t>
        </r>
      </text>
    </comment>
  </commentList>
</comments>
</file>

<file path=xl/sharedStrings.xml><?xml version="1.0" encoding="utf-8"?>
<sst xmlns="http://schemas.openxmlformats.org/spreadsheetml/2006/main" count="1372" uniqueCount="224">
  <si>
    <t>Individual</t>
  </si>
  <si>
    <t>Business Development</t>
  </si>
  <si>
    <t>Go to Activities, set date range, select time entries and export the report.  Filter for Business Development (00706), Presentations (# varies), Romano &amp; Sumner Website (00316), Fort Bend County Bar Association (00654) and Bar Nominating Committee (00997) for each user.</t>
  </si>
  <si>
    <t>Potential Clients</t>
  </si>
  <si>
    <t>Repeat #1 but filter for 00050 (Potential Clients).</t>
  </si>
  <si>
    <t>CLE</t>
  </si>
  <si>
    <t>Repeat #1 but filter for 00707 (Continuing Legal Education)</t>
  </si>
  <si>
    <t>Other Admin</t>
  </si>
  <si>
    <t>Repeat #1 but filter for 00158 (Romano &amp; Sumner)</t>
  </si>
  <si>
    <t>Billable Hours</t>
  </si>
  <si>
    <t>Repeat #1 but filter for everything except matters in 1-4 above.</t>
  </si>
  <si>
    <t>Billed $ (Time)</t>
  </si>
  <si>
    <t>Run Revenue Report for each timekeeper, date range is last month, CSV.  Format as table and add total row.</t>
  </si>
  <si>
    <t>Discounts</t>
  </si>
  <si>
    <t>Run the Revenue report for each user, date range is last month.  Use the number from the credit notes column.</t>
  </si>
  <si>
    <t>Collected $ (Time)</t>
  </si>
  <si>
    <t>Run Fee Allocation Report for each timekeeper, select bill payment date, date range is last month, CSV.  Format as table and add total row.</t>
  </si>
  <si>
    <t>Responsible</t>
  </si>
  <si>
    <t>Run Revenue Report for all timekeepers, date range is last month, CSV.  Format as table and add total row, filter by responsible attorney.</t>
  </si>
  <si>
    <t>Run Fee Allocation Report for all timekeepers, select bill payment date, date range is last month, CSV.  Format as table and add total row, filter by responsible attorney.</t>
  </si>
  <si>
    <t>Originating</t>
  </si>
  <si>
    <t>Run Fee Allocation report, select bill payment date, date range is last month, CSV.  Format as table and add total row, filter for each originating attorney to get their collected time amounts.</t>
  </si>
  <si>
    <t>Bonus PT</t>
  </si>
  <si>
    <t>Individual Collections</t>
  </si>
  <si>
    <t>Run Fee Allocation Report, select bill payment date, date range is the last 2 years (reduce each month until Jan 2021, then just run last 12 month), ending with the last day of last month, CSV.  Format as table and add total row.  Filter for each partner as user.</t>
  </si>
  <si>
    <t>Responsible Collections</t>
  </si>
  <si>
    <t>Run Fee Allocation Report, select bill payment date, date range is the last 2 years(reduce each month until Jan 2021, then just run last 12 month), ending with the last day of last month, CSV.  Format as table and add total row.  Filter for each partner as responsible attorney.</t>
  </si>
  <si>
    <t>Go to Activities, set date range for last 2 years (reduce each month until Jan 2021, then just run last 12 month), filter by user, select each of the following matters: Business Development (00706), Presentations (# varies), Romano &amp; Sumner Website (00316), Fort Bend County Bar Association (00654) and Bar Nominating Committee (00997)</t>
  </si>
  <si>
    <t>Go to Activities, set date range for last 2 years (reduce each month until Jan 2021, then just run last 12 month), filter by user, select matter 00050 (Potential Clients)</t>
  </si>
  <si>
    <t>Go to Activities, set date range for last 2 years(reduce each month until Jan 2021, then just run last 12 month), filter by user, select matter 00707 (Continuing Legal Education)</t>
  </si>
  <si>
    <t>Go to Activities, set date range for last 2 years(reduce each month until Jan 2021, then just run last 12 month), filter by user, select matter 00158 (Romano &amp; Sumner)</t>
  </si>
  <si>
    <t>Contingency Bonus</t>
  </si>
  <si>
    <t>Use the revenue report generated in Individual 7 above, filter for Contingency practice area to get the # of unbilled hours.  Multiply by hourly rate and add to individual collection filter for the month.  Make sure we did not bill any contingency matters this month so she doesn't get credited twice.</t>
  </si>
  <si>
    <t>User</t>
  </si>
  <si>
    <t>Available
Hours</t>
  </si>
  <si>
    <t>Utilization
Rate</t>
  </si>
  <si>
    <t>Total
Billed Hours</t>
  </si>
  <si>
    <t>Realization
Rate</t>
  </si>
  <si>
    <t>Billed
After Discounts</t>
  </si>
  <si>
    <t>Collection
Rate</t>
  </si>
  <si>
    <t>Billed Hours
Collected</t>
  </si>
  <si>
    <t>Billing
Rate</t>
  </si>
  <si>
    <t>PAR</t>
  </si>
  <si>
    <t>KES</t>
  </si>
  <si>
    <t>NRN</t>
  </si>
  <si>
    <t>EDS</t>
  </si>
  <si>
    <t>JAD</t>
  </si>
  <si>
    <t>NAF</t>
  </si>
  <si>
    <t>ACA</t>
  </si>
  <si>
    <t>AFL</t>
  </si>
  <si>
    <t>AKG</t>
  </si>
  <si>
    <t>NSJ</t>
  </si>
  <si>
    <t>CJW</t>
  </si>
  <si>
    <t>Total</t>
  </si>
  <si>
    <t>Assumptions for Attorneys:</t>
  </si>
  <si>
    <t>Total Available Hours: 1880</t>
  </si>
  <si>
    <t>8 hour days</t>
  </si>
  <si>
    <t>47 weeks per year</t>
  </si>
  <si>
    <t>Individual Attorney</t>
  </si>
  <si>
    <t>Responsible Attorney</t>
  </si>
  <si>
    <t>Originating Attorney</t>
  </si>
  <si>
    <t>Biz 
Dev</t>
  </si>
  <si>
    <t>Total Nonbillable</t>
  </si>
  <si>
    <t>Total
Hours</t>
  </si>
  <si>
    <t>Billed
$ (Time)</t>
  </si>
  <si>
    <t>Collected
Actual</t>
  </si>
  <si>
    <t>Collected
Goal</t>
  </si>
  <si>
    <t>January</t>
  </si>
  <si>
    <t>RT</t>
  </si>
  <si>
    <t>GKN</t>
  </si>
  <si>
    <t>ASC</t>
  </si>
  <si>
    <t>SKH</t>
  </si>
  <si>
    <t>EAH</t>
  </si>
  <si>
    <t>SPR</t>
  </si>
  <si>
    <t>MBY</t>
  </si>
  <si>
    <t>February</t>
  </si>
  <si>
    <t>March</t>
  </si>
  <si>
    <t>CWW</t>
  </si>
  <si>
    <t>April</t>
  </si>
  <si>
    <t>May</t>
  </si>
  <si>
    <t>June</t>
  </si>
  <si>
    <t>July</t>
  </si>
  <si>
    <t>August</t>
  </si>
  <si>
    <t xml:space="preserve"> </t>
  </si>
  <si>
    <t>September</t>
  </si>
  <si>
    <t>MNH</t>
  </si>
  <si>
    <t>October</t>
  </si>
  <si>
    <t>TBS</t>
  </si>
  <si>
    <t>ASI</t>
  </si>
  <si>
    <t>November</t>
  </si>
  <si>
    <t>December</t>
  </si>
  <si>
    <t>JAN</t>
  </si>
  <si>
    <t>Billable</t>
  </si>
  <si>
    <t>Nonbillable</t>
  </si>
  <si>
    <t>Available Hours</t>
  </si>
  <si>
    <t>Untracked</t>
  </si>
  <si>
    <t>Utilization Rate</t>
  </si>
  <si>
    <t>FEB</t>
  </si>
  <si>
    <t>MAR</t>
  </si>
  <si>
    <t>APR</t>
  </si>
  <si>
    <t>MAY</t>
  </si>
  <si>
    <t>JUN</t>
  </si>
  <si>
    <t>JUL</t>
  </si>
  <si>
    <t>AUG</t>
  </si>
  <si>
    <t>SEP</t>
  </si>
  <si>
    <t>OCT</t>
  </si>
  <si>
    <t>NOV</t>
  </si>
  <si>
    <t>DEC</t>
  </si>
  <si>
    <t>Total Billed Hours</t>
  </si>
  <si>
    <t>Billed: Nondiscounted</t>
  </si>
  <si>
    <t>Billed: Discounted</t>
  </si>
  <si>
    <t>Unbilled &amp; Draft</t>
  </si>
  <si>
    <t>Realization Rate</t>
  </si>
  <si>
    <t xml:space="preserve">How To:
1) Open the Yearly Comparison Spreadsheet and go to the Utilization tab
2) Insert space at the top of the spreadsheet to fit a new year’s worth of Utilization figures. 
3) Copy Last Year’s figures and past them into the newly inserted cells
4) Change the year on the inserted cells to the Current Year
5) Delete the numbers in the Billed: Nondiscounted, Billed: Discounted, and Unbilled columns for the Current Year (except for the Total rows because those have formulas).  Leave the Total and Realization Rate columns because they have formulas.  
6) In Clio, go to the Dashboard (tab on the left-hand column) and then click on the “Firm Dashboard” on the top of the Dashboard screen.  
7) Then filter for Current Year, and then filter for each individual user.
8) The second section that appears is called “Realization”. This section will give you the figures that you need for Billable:Nondiscounted, Billable:Discounted, and Unbilled which you can fill in on the chart for the Current Year in the Realization tab of the Yearly Comparison Spreadsheet.   </t>
  </si>
  <si>
    <t xml:space="preserve">How: Get these figures from the Dashboard for year in question for each individual user. </t>
  </si>
  <si>
    <t>Collected</t>
  </si>
  <si>
    <t>Uncollected</t>
  </si>
  <si>
    <t>Collection Rate</t>
  </si>
  <si>
    <t>Billing &amp; Collections</t>
  </si>
  <si>
    <t>Month</t>
  </si>
  <si>
    <t>Pot
Clients</t>
  </si>
  <si>
    <t>Admin</t>
  </si>
  <si>
    <t xml:space="preserve"> Write Offs</t>
  </si>
  <si>
    <t>Discounted Time</t>
  </si>
  <si>
    <t>Difference</t>
  </si>
  <si>
    <t>Available 
Hours</t>
  </si>
  <si>
    <t>Goal</t>
  </si>
  <si>
    <t>Billed
Nondiscounted</t>
  </si>
  <si>
    <t>Billed
Discounted</t>
  </si>
  <si>
    <t>Ocrtober</t>
  </si>
  <si>
    <r>
      <rPr>
        <b/>
        <sz val="12"/>
        <color theme="1"/>
        <rFont val="Calibri"/>
        <family val="2"/>
        <scheme val="minor"/>
      </rPr>
      <t>Utilization rate: </t>
    </r>
    <r>
      <rPr>
        <sz val="12"/>
        <color theme="1"/>
        <rFont val="Calibri"/>
        <family val="2"/>
        <scheme val="minor"/>
      </rPr>
      <t>Utilization rate measures workload and productivity. 
UR = Billable Hours / Available Hours</t>
    </r>
  </si>
  <si>
    <r>
      <rPr>
        <b/>
        <sz val="12"/>
        <color theme="1"/>
        <rFont val="Calibri"/>
        <family val="2"/>
        <scheme val="minor"/>
      </rPr>
      <t>Realization Rate:</t>
    </r>
    <r>
      <rPr>
        <sz val="12"/>
        <color theme="1"/>
        <rFont val="Calibri"/>
        <family val="2"/>
        <scheme val="minor"/>
      </rPr>
      <t xml:space="preserve"> The realization rate is a measure of efficiency and calculates the amount of billable work recorded that is actually put on an invoice, minus discounts.
RR = Billed: Nondiscounted / Total Billed Hours Worked</t>
    </r>
  </si>
  <si>
    <r>
      <rPr>
        <b/>
        <sz val="12"/>
        <color theme="1"/>
        <rFont val="Calibri"/>
        <family val="2"/>
        <scheme val="minor"/>
      </rPr>
      <t xml:space="preserve">Collection Rate: </t>
    </r>
    <r>
      <rPr>
        <sz val="12"/>
        <color theme="1"/>
        <rFont val="Calibri"/>
        <family val="2"/>
        <scheme val="minor"/>
      </rPr>
      <t>Collection rate measures how much of the billed work has been
paid for.
CR = Collected / (Collected + Uncollected)</t>
    </r>
  </si>
  <si>
    <t xml:space="preserve">Romano Sumner </t>
  </si>
  <si>
    <t>Bonus Calculation</t>
  </si>
  <si>
    <t>Jan</t>
  </si>
  <si>
    <t>Feb</t>
  </si>
  <si>
    <t>Mar</t>
  </si>
  <si>
    <t>Apr</t>
  </si>
  <si>
    <t>Jun</t>
  </si>
  <si>
    <t>Jul</t>
  </si>
  <si>
    <t>Aug</t>
  </si>
  <si>
    <t>Sept</t>
  </si>
  <si>
    <t>Oct</t>
  </si>
  <si>
    <t>Nov</t>
  </si>
  <si>
    <t>Dec</t>
  </si>
  <si>
    <t>Firm Overhead</t>
  </si>
  <si>
    <t># of Attorneys</t>
  </si>
  <si>
    <t>Share of Overhead</t>
  </si>
  <si>
    <t>Attorney Base Salary</t>
  </si>
  <si>
    <t>Para Base Salary</t>
  </si>
  <si>
    <t>Angela</t>
  </si>
  <si>
    <t xml:space="preserve">Para Base Salary </t>
  </si>
  <si>
    <t>Legal Assistant</t>
  </si>
  <si>
    <t>Payroll Related Exp.</t>
  </si>
  <si>
    <t>Base Target</t>
  </si>
  <si>
    <t>Bracket</t>
  </si>
  <si>
    <t>Bottom</t>
  </si>
  <si>
    <t>Top</t>
  </si>
  <si>
    <t>Bonus Rate</t>
  </si>
  <si>
    <t>Bracket 1</t>
  </si>
  <si>
    <t>Bracket 2</t>
  </si>
  <si>
    <t>Bracket 3</t>
  </si>
  <si>
    <t>Bracket 4</t>
  </si>
  <si>
    <t>For Month</t>
  </si>
  <si>
    <t>Year To Date</t>
  </si>
  <si>
    <t>To Next Bracket</t>
  </si>
  <si>
    <t>Bonus Earned</t>
  </si>
  <si>
    <t>ACA/NSJ(25%)</t>
  </si>
  <si>
    <t>ACA/CJW(25%)</t>
  </si>
  <si>
    <t>Kaz</t>
  </si>
  <si>
    <t>NSJ/AKG</t>
  </si>
  <si>
    <t>NSJ (75%)</t>
  </si>
  <si>
    <t>CJW (75%)</t>
  </si>
  <si>
    <t>Prorated</t>
  </si>
  <si>
    <t>Bonus Goals</t>
  </si>
  <si>
    <t>Paralegals</t>
  </si>
  <si>
    <t>1316/yr</t>
  </si>
  <si>
    <t>109.6/mo</t>
  </si>
  <si>
    <t>&gt;=110 hours (5.5 billable/day)</t>
  </si>
  <si>
    <t>&gt;=121 hours  (6.05 billable/day)</t>
  </si>
  <si>
    <t>&gt;=133 hours  (6.65 billable/day)</t>
  </si>
  <si>
    <t>Totals</t>
  </si>
  <si>
    <t>Admin/Bus</t>
  </si>
  <si>
    <t>PNC</t>
  </si>
  <si>
    <t>Sep</t>
  </si>
  <si>
    <t>ALL</t>
  </si>
  <si>
    <t>Allowed</t>
  </si>
  <si>
    <t>Paid NRN $7,831 on 12/17/25</t>
  </si>
  <si>
    <t>Paid NRN $1,048 on 8/1/25 (owe him $102)</t>
  </si>
  <si>
    <t>Paid NRN $19,404 on 11/17/25 (owe him $47)</t>
  </si>
  <si>
    <t>Paid NRN $8,234 ($8085 + $149) on 3/2/26</t>
  </si>
  <si>
    <t>Paid KES $1178 on 11/20/25</t>
  </si>
  <si>
    <t>Paid KES $2270 on 12/17/25 (KES owes RS $1178)</t>
  </si>
  <si>
    <t>Paid KES $3475 on 3/2/26</t>
  </si>
  <si>
    <t>Paid PAR $730 on 12/17/25</t>
  </si>
  <si>
    <t>Paid PAR $876 on 3/2/26</t>
  </si>
  <si>
    <t>JBP</t>
  </si>
  <si>
    <t>Employee</t>
  </si>
  <si>
    <t>JPB</t>
  </si>
  <si>
    <r>
      <t xml:space="preserve">    </t>
    </r>
    <r>
      <rPr>
        <b/>
        <sz val="11"/>
        <color theme="0"/>
        <rFont val="Calibri"/>
        <family val="2"/>
        <scheme val="minor"/>
      </rPr>
      <t xml:space="preserve"> Write Offs  </t>
    </r>
    <r>
      <rPr>
        <b/>
        <sz val="10.5"/>
        <color theme="0"/>
        <rFont val="Calibri"/>
        <family val="2"/>
        <scheme val="minor"/>
      </rPr>
      <t xml:space="preserve">  </t>
    </r>
    <r>
      <rPr>
        <b/>
        <sz val="8"/>
        <color theme="0"/>
        <rFont val="Calibri"/>
        <family val="2"/>
        <scheme val="minor"/>
      </rPr>
      <t xml:space="preserve">     $ (Credit Notes)</t>
    </r>
  </si>
  <si>
    <r>
      <rPr>
        <b/>
        <sz val="11"/>
        <color theme="0"/>
        <rFont val="Calibri"/>
        <family val="2"/>
        <scheme val="minor"/>
      </rPr>
      <t>Line Discounts</t>
    </r>
    <r>
      <rPr>
        <b/>
        <sz val="11.5"/>
        <color theme="0"/>
        <rFont val="Calibri"/>
        <family val="2"/>
        <scheme val="minor"/>
      </rPr>
      <t xml:space="preserve">  </t>
    </r>
    <r>
      <rPr>
        <b/>
        <sz val="9"/>
        <color theme="0"/>
        <rFont val="Calibri"/>
        <family val="2"/>
        <scheme val="minor"/>
      </rPr>
      <t>$ (Discounted Time)</t>
    </r>
  </si>
  <si>
    <t>CTD</t>
  </si>
  <si>
    <t>2026 Totals</t>
  </si>
  <si>
    <t>2026 Goals</t>
  </si>
  <si>
    <t>2026
Collection Goal</t>
  </si>
  <si>
    <t>2025
Collections</t>
  </si>
  <si>
    <t>2026 Monthly</t>
  </si>
  <si>
    <t>-</t>
  </si>
  <si>
    <t>Bonusable Hours (Billable)</t>
  </si>
  <si>
    <t>Bonus</t>
  </si>
  <si>
    <t>LAK</t>
  </si>
  <si>
    <t>LSH</t>
  </si>
  <si>
    <t>KGV</t>
  </si>
  <si>
    <t>Atty:  JBP</t>
  </si>
  <si>
    <t>Year: 2026</t>
  </si>
  <si>
    <t>Atty: TBS</t>
  </si>
  <si>
    <t>Atty:  MHN</t>
  </si>
  <si>
    <t>Atty:  NAF</t>
  </si>
  <si>
    <t>Atty:  NRN</t>
  </si>
  <si>
    <t>Atty: KES</t>
  </si>
  <si>
    <t>Atty:  PAR</t>
  </si>
  <si>
    <t>MAV</t>
  </si>
  <si>
    <t>CHW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</si>
</sst>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quot;$&quot;#,##0.00"/>
    <numFmt numFmtId="165" formatCode="0.0"/>
    <numFmt numFmtId="166" formatCode="[$-409]mmmm\-yy;@"/>
    <numFmt numFmtId="167" formatCode="&quot;$&quot;#,##0"/>
    <numFmt numFmtId="168" formatCode="_(&quot;$&quot;* #,##0_);_(&quot;$&quot;* \(#,##0\);_(&quot;$&quot;* &quot;-&quot;??_);_(@_)"/>
  </numFmts>
  <fonts count="3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2"/>
      <color theme="11"/>
      <name val="Calibri"/>
      <family val="2"/>
      <scheme val="minor"/>
    </font>
    <font>
      <sz val="12"/>
      <color theme="0"/>
      <name val="Calibri"/>
      <family val="2"/>
      <scheme val="minor"/>
    </font>
    <font>
      <b/>
      <sz val="11"/>
      <color theme="0"/>
      <name val="Calibri"/>
      <family val="2"/>
      <scheme val="minor"/>
    </font>
    <font>
      <sz val="11"/>
      <name val="Calibri"/>
      <family val="2"/>
      <scheme val="minor"/>
    </font>
    <font>
      <b/>
      <sz val="12"/>
      <color theme="1"/>
      <name val="Calibri"/>
      <family val="2"/>
      <scheme val="minor"/>
    </font>
    <font>
      <sz val="12"/>
      <color theme="1"/>
      <name val="Calibri"/>
      <family val="2"/>
      <scheme val="minor"/>
    </font>
    <font>
      <sz val="9"/>
      <color indexed="81"/>
      <name val="Tahoma"/>
      <family val="2"/>
    </font>
    <font>
      <b/>
      <sz val="9"/>
      <color indexed="81"/>
      <name val="Tahoma"/>
      <family val="2"/>
    </font>
    <font>
      <b/>
      <sz val="12"/>
      <name val="Calibri"/>
      <family val="2"/>
      <scheme val="minor"/>
    </font>
    <font>
      <sz val="12"/>
      <name val="Calibri"/>
      <family val="2"/>
      <scheme val="minor"/>
    </font>
    <font>
      <b/>
      <sz val="10.5"/>
      <color theme="0"/>
      <name val="Calibri"/>
      <family val="2"/>
      <scheme val="minor"/>
    </font>
    <font>
      <b/>
      <sz val="11.5"/>
      <color theme="0"/>
      <name val="Calibri"/>
      <family val="2"/>
      <scheme val="minor"/>
    </font>
    <font>
      <b/>
      <sz val="14"/>
      <color theme="1"/>
      <name val="Times New Roman"/>
      <family val="1"/>
    </font>
    <font>
      <b/>
      <sz val="12"/>
      <color theme="0"/>
      <name val="Calibri"/>
      <family val="2"/>
      <scheme val="minor"/>
    </font>
    <font>
      <sz val="11"/>
      <color theme="0" tint="-0.249977111117893"/>
      <name val="Calibri"/>
      <family val="2"/>
      <scheme val="minor"/>
    </font>
    <font>
      <b/>
      <sz val="11"/>
      <color theme="0" tint="-0.249977111117893"/>
      <name val="Calibri"/>
      <family val="2"/>
      <scheme val="minor"/>
    </font>
    <font>
      <sz val="11"/>
      <color theme="0" tint="-0.34998626667073579"/>
      <name val="Calibri"/>
      <family val="2"/>
      <scheme val="minor"/>
    </font>
    <font>
      <b/>
      <sz val="14"/>
      <color theme="0"/>
      <name val="Times New Roman"/>
      <family val="1"/>
    </font>
    <font>
      <b/>
      <sz val="8"/>
      <color theme="0"/>
      <name val="Calibri"/>
      <family val="2"/>
      <scheme val="minor"/>
    </font>
    <font>
      <b/>
      <sz val="9"/>
      <color theme="0"/>
      <name val="Calibri"/>
      <family val="2"/>
      <scheme val="minor"/>
    </font>
    <font>
      <sz val="9"/>
      <color indexed="81"/>
      <name val="Tahoma"/>
      <charset val="1"/>
    </font>
    <font>
      <b/>
      <sz val="9"/>
      <color indexed="81"/>
      <name val="Tahoma"/>
      <charset val="1"/>
    </font>
    <font>
      <sz val="8"/>
      <name val="Calibri"/>
      <family val="2"/>
      <scheme val="minor"/>
    </font>
  </fonts>
  <fills count="33">
    <fill>
      <patternFill patternType="none"/>
    </fill>
    <fill>
      <patternFill patternType="gray125"/>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0"/>
        <bgColor indexed="64"/>
      </patternFill>
    </fill>
    <fill>
      <patternFill patternType="solid">
        <fgColor theme="8"/>
        <bgColor indexed="64"/>
      </patternFill>
    </fill>
    <fill>
      <patternFill patternType="solid">
        <fgColor theme="8" tint="-0.249977111117893"/>
        <bgColor indexed="64"/>
      </patternFill>
    </fill>
    <fill>
      <patternFill patternType="solid">
        <fgColor rgb="FFFFFFCC"/>
        <bgColor indexed="64"/>
      </patternFill>
    </fill>
    <fill>
      <patternFill patternType="lightGray"/>
    </fill>
    <fill>
      <patternFill patternType="solid">
        <fgColor theme="9" tint="0.79998168889431442"/>
        <bgColor indexed="64"/>
      </patternFill>
    </fill>
    <fill>
      <patternFill patternType="solid">
        <fgColor theme="9"/>
        <bgColor theme="9"/>
      </patternFill>
    </fill>
    <fill>
      <patternFill patternType="solid">
        <fgColor theme="9" tint="-0.249977111117893"/>
        <bgColor indexed="64"/>
      </patternFill>
    </fill>
    <fill>
      <patternFill patternType="solid">
        <fgColor theme="7"/>
        <bgColor theme="7"/>
      </patternFill>
    </fill>
    <fill>
      <patternFill patternType="solid">
        <fgColor theme="5"/>
        <bgColor theme="5"/>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75B44A"/>
        <bgColor indexed="64"/>
      </patternFill>
    </fill>
    <fill>
      <patternFill patternType="solid">
        <fgColor rgb="FFEF8747"/>
        <bgColor indexed="64"/>
      </patternFill>
    </fill>
    <fill>
      <patternFill patternType="solid">
        <fgColor rgb="FFFFCF37"/>
        <bgColor indexed="64"/>
      </patternFill>
    </fill>
    <fill>
      <patternFill patternType="solid">
        <fgColor rgb="FFFFFF00"/>
        <bgColor indexed="64"/>
      </patternFill>
    </fill>
    <fill>
      <patternFill patternType="solid">
        <fgColor theme="0" tint="-0.249977111117893"/>
        <bgColor indexed="64"/>
      </patternFill>
    </fill>
  </fills>
  <borders count="115">
    <border>
      <left/>
      <right/>
      <top/>
      <bottom/>
      <diagonal/>
    </border>
    <border>
      <left/>
      <right style="thin">
        <color auto="1"/>
      </right>
      <top/>
      <bottom/>
      <diagonal/>
    </border>
    <border>
      <left/>
      <right style="medium">
        <color auto="1"/>
      </right>
      <top/>
      <bottom/>
      <diagonal/>
    </border>
    <border>
      <left style="thick">
        <color auto="1"/>
      </left>
      <right/>
      <top/>
      <bottom/>
      <diagonal/>
    </border>
    <border>
      <left/>
      <right/>
      <top/>
      <bottom style="thick">
        <color auto="1"/>
      </bottom>
      <diagonal/>
    </border>
    <border>
      <left style="thin">
        <color auto="1"/>
      </left>
      <right style="thick">
        <color auto="1"/>
      </right>
      <top/>
      <bottom style="thick">
        <color auto="1"/>
      </bottom>
      <diagonal/>
    </border>
    <border>
      <left/>
      <right style="thick">
        <color indexed="8"/>
      </right>
      <top/>
      <bottom/>
      <diagonal/>
    </border>
    <border>
      <left/>
      <right style="thick">
        <color indexed="8"/>
      </right>
      <top/>
      <bottom style="thin">
        <color auto="1"/>
      </bottom>
      <diagonal/>
    </border>
    <border>
      <left/>
      <right style="thick">
        <color indexed="8"/>
      </right>
      <top/>
      <bottom style="thick">
        <color indexed="8"/>
      </bottom>
      <diagonal/>
    </border>
    <border>
      <left style="medium">
        <color indexed="0"/>
      </left>
      <right/>
      <top/>
      <bottom/>
      <diagonal/>
    </border>
    <border>
      <left/>
      <right/>
      <top style="medium">
        <color auto="1"/>
      </top>
      <bottom/>
      <diagonal/>
    </border>
    <border>
      <left style="thin">
        <color auto="1"/>
      </left>
      <right/>
      <top/>
      <bottom/>
      <diagonal/>
    </border>
    <border>
      <left style="thin">
        <color auto="1"/>
      </left>
      <right/>
      <top/>
      <bottom style="thick">
        <color auto="1"/>
      </bottom>
      <diagonal/>
    </border>
    <border>
      <left/>
      <right style="thin">
        <color auto="1"/>
      </right>
      <top/>
      <bottom style="thin">
        <color indexed="64"/>
      </bottom>
      <diagonal/>
    </border>
    <border>
      <left style="medium">
        <color indexed="64"/>
      </left>
      <right/>
      <top style="medium">
        <color indexed="64"/>
      </top>
      <bottom/>
      <diagonal/>
    </border>
    <border>
      <left style="thin">
        <color auto="1"/>
      </left>
      <right style="thin">
        <color auto="1"/>
      </right>
      <top/>
      <bottom/>
      <diagonal/>
    </border>
    <border>
      <left style="thin">
        <color indexed="64"/>
      </left>
      <right style="thick">
        <color indexed="64"/>
      </right>
      <top/>
      <bottom/>
      <diagonal/>
    </border>
    <border>
      <left style="thick">
        <color indexed="8"/>
      </left>
      <right/>
      <top/>
      <bottom/>
      <diagonal/>
    </border>
    <border>
      <left style="thick">
        <color auto="1"/>
      </left>
      <right style="thick">
        <color auto="1"/>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top style="thick">
        <color auto="1"/>
      </top>
      <bottom/>
      <diagonal/>
    </border>
    <border>
      <left style="thin">
        <color indexed="64"/>
      </left>
      <right style="thin">
        <color indexed="64"/>
      </right>
      <top style="thin">
        <color indexed="64"/>
      </top>
      <bottom style="double">
        <color indexed="64"/>
      </bottom>
      <diagonal/>
    </border>
    <border>
      <left style="thick">
        <color indexed="8"/>
      </left>
      <right/>
      <top/>
      <bottom style="thick">
        <color indexed="8"/>
      </bottom>
      <diagonal/>
    </border>
    <border>
      <left style="thin">
        <color auto="1"/>
      </left>
      <right/>
      <top style="thick">
        <color auto="1"/>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auto="1"/>
      </left>
      <right/>
      <top/>
      <bottom style="thin">
        <color auto="1"/>
      </bottom>
      <diagonal/>
    </border>
    <border>
      <left style="thin">
        <color auto="1"/>
      </left>
      <right style="thin">
        <color indexed="64"/>
      </right>
      <top/>
      <bottom style="thick">
        <color auto="1"/>
      </bottom>
      <diagonal/>
    </border>
    <border>
      <left style="thin">
        <color auto="1"/>
      </left>
      <right style="thick">
        <color auto="1"/>
      </right>
      <top style="double">
        <color auto="1"/>
      </top>
      <bottom/>
      <diagonal/>
    </border>
    <border>
      <left/>
      <right style="thick">
        <color indexed="64"/>
      </right>
      <top/>
      <bottom/>
      <diagonal/>
    </border>
    <border>
      <left/>
      <right/>
      <top style="thin">
        <color indexed="64"/>
      </top>
      <bottom style="thick">
        <color indexed="8"/>
      </bottom>
      <diagonal/>
    </border>
    <border>
      <left style="thin">
        <color indexed="0"/>
      </left>
      <right style="thin">
        <color auto="1"/>
      </right>
      <top style="thin">
        <color indexed="64"/>
      </top>
      <bottom style="thick">
        <color indexed="8"/>
      </bottom>
      <diagonal/>
    </border>
    <border>
      <left style="thin">
        <color auto="1"/>
      </left>
      <right style="thin">
        <color auto="1"/>
      </right>
      <top style="thin">
        <color indexed="64"/>
      </top>
      <bottom style="thick">
        <color indexed="8"/>
      </bottom>
      <diagonal/>
    </border>
    <border>
      <left/>
      <right style="thick">
        <color indexed="8"/>
      </right>
      <top style="thin">
        <color indexed="64"/>
      </top>
      <bottom style="thick">
        <color indexed="8"/>
      </bottom>
      <diagonal/>
    </border>
    <border>
      <left style="thin">
        <color indexed="8"/>
      </left>
      <right/>
      <top/>
      <bottom style="thick">
        <color indexed="8"/>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
      <left style="thick">
        <color indexed="64"/>
      </left>
      <right/>
      <top/>
      <bottom style="thick">
        <color indexed="64"/>
      </bottom>
      <diagonal/>
    </border>
    <border>
      <left style="thick">
        <color auto="1"/>
      </left>
      <right style="thick">
        <color auto="1"/>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right style="thin">
        <color theme="8" tint="0.39997558519241921"/>
      </right>
      <top style="thin">
        <color theme="8" tint="0.39997558519241921"/>
      </top>
      <bottom style="thin">
        <color theme="8" tint="0.39997558519241921"/>
      </bottom>
      <diagonal/>
    </border>
    <border>
      <left style="thin">
        <color indexed="64"/>
      </left>
      <right style="thin">
        <color indexed="64"/>
      </right>
      <top/>
      <bottom style="thin">
        <color indexed="64"/>
      </bottom>
      <diagonal/>
    </border>
    <border>
      <left/>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ck">
        <color indexed="8"/>
      </left>
      <right/>
      <top style="thick">
        <color indexed="8"/>
      </top>
      <bottom/>
      <diagonal/>
    </border>
    <border>
      <left style="thin">
        <color indexed="8"/>
      </left>
      <right style="medium">
        <color indexed="0"/>
      </right>
      <top style="thick">
        <color indexed="8"/>
      </top>
      <bottom/>
      <diagonal/>
    </border>
    <border>
      <left style="medium">
        <color indexed="0"/>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indexed="8"/>
      </left>
      <right style="medium">
        <color indexed="0"/>
      </right>
      <top style="medium">
        <color indexed="0"/>
      </top>
      <bottom style="thin">
        <color indexed="0"/>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ck">
        <color auto="1"/>
      </left>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indexed="8"/>
      </left>
      <right style="medium">
        <color indexed="0"/>
      </right>
      <top style="thin">
        <color indexed="0"/>
      </top>
      <bottom style="medium">
        <color indexed="0"/>
      </bottom>
      <diagonal/>
    </border>
    <border>
      <left style="thin">
        <color auto="1"/>
      </left>
      <right style="thin">
        <color indexed="64"/>
      </right>
      <top style="thick">
        <color auto="1"/>
      </top>
      <bottom/>
      <diagonal/>
    </border>
    <border>
      <left style="thick">
        <color indexed="64"/>
      </left>
      <right/>
      <top style="thick">
        <color indexed="64"/>
      </top>
      <bottom/>
      <diagonal/>
    </border>
    <border>
      <left style="thin">
        <color auto="1"/>
      </left>
      <right style="thick">
        <color auto="1"/>
      </right>
      <top style="thick">
        <color auto="1"/>
      </top>
      <bottom/>
      <diagonal/>
    </border>
    <border>
      <left style="thick">
        <color auto="1"/>
      </left>
      <right style="thick">
        <color auto="1"/>
      </right>
      <top style="thick">
        <color auto="1"/>
      </top>
      <bottom/>
      <diagonal/>
    </border>
    <border>
      <left style="thin">
        <color auto="1"/>
      </left>
      <right style="thin">
        <color auto="1"/>
      </right>
      <top style="thin">
        <color auto="1"/>
      </top>
      <bottom style="thick">
        <color auto="1"/>
      </bottom>
      <diagonal/>
    </border>
    <border>
      <left/>
      <right style="thin">
        <color indexed="64"/>
      </right>
      <top style="thin">
        <color indexed="64"/>
      </top>
      <bottom style="thick">
        <color auto="1"/>
      </bottom>
      <diagonal/>
    </border>
    <border>
      <left style="thick">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diagonal/>
    </border>
    <border>
      <left style="thick">
        <color indexed="64"/>
      </left>
      <right/>
      <top/>
      <bottom style="thick">
        <color indexed="64"/>
      </bottom>
      <diagonal/>
    </border>
    <border>
      <left style="medium">
        <color indexed="64"/>
      </left>
      <right/>
      <top style="medium">
        <color indexed="64"/>
      </top>
      <bottom/>
      <diagonal/>
    </border>
    <border>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theme="4" tint="0.39994506668294322"/>
      </left>
      <right style="thin">
        <color theme="4" tint="0.39994506668294322"/>
      </right>
      <top style="thin">
        <color indexed="64"/>
      </top>
      <bottom style="thin">
        <color indexed="64"/>
      </bottom>
      <diagonal/>
    </border>
    <border>
      <left style="thin">
        <color indexed="64"/>
      </left>
      <right style="thin">
        <color theme="4" tint="0.39994506668294322"/>
      </right>
      <top style="thin">
        <color indexed="64"/>
      </top>
      <bottom style="thin">
        <color indexed="64"/>
      </bottom>
      <diagonal/>
    </border>
    <border>
      <left style="thin">
        <color theme="4" tint="0.39994506668294322"/>
      </left>
      <right style="thin">
        <color indexed="64"/>
      </right>
      <top style="thin">
        <color indexed="64"/>
      </top>
      <bottom style="thin">
        <color indexed="64"/>
      </bottom>
      <diagonal/>
    </border>
    <border>
      <left/>
      <right style="thick">
        <color auto="1"/>
      </right>
      <top style="thick">
        <color auto="1"/>
      </top>
      <bottom style="thin">
        <color auto="1"/>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style="thin">
        <color indexed="64"/>
      </top>
      <bottom style="thick">
        <color auto="1"/>
      </bottom>
      <diagonal/>
    </border>
    <border>
      <left style="thin">
        <color indexed="0"/>
      </left>
      <right style="thin">
        <color auto="1"/>
      </right>
      <top/>
      <bottom style="thick">
        <color auto="1"/>
      </bottom>
      <diagonal/>
    </border>
    <border>
      <left style="thin">
        <color theme="8" tint="0.39997558519241921"/>
      </left>
      <right/>
      <top style="thin">
        <color theme="8" tint="0.39997558519241921"/>
      </top>
      <bottom/>
      <diagonal/>
    </border>
    <border>
      <left/>
      <right/>
      <top style="thin">
        <color theme="8" tint="0.39997558519241921"/>
      </top>
      <bottom/>
      <diagonal/>
    </border>
    <border>
      <left style="thin">
        <color indexed="64"/>
      </left>
      <right/>
      <top style="double">
        <color auto="1"/>
      </top>
      <bottom/>
      <diagonal/>
    </border>
  </borders>
  <cellStyleXfs count="261">
    <xf numFmtId="166" fontId="0" fillId="0" borderId="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6" fillId="2" borderId="0" applyNumberFormat="0" applyBorder="0" applyAlignment="0" applyProtection="0"/>
    <xf numFmtId="166" fontId="13" fillId="3" borderId="0" applyNumberFormat="0" applyBorder="0" applyAlignment="0" applyProtection="0"/>
    <xf numFmtId="166" fontId="13" fillId="4" borderId="0" applyNumberFormat="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44" fontId="20" fillId="0" borderId="0" applyFont="0" applyFill="0" applyBorder="0" applyAlignment="0" applyProtection="0"/>
    <xf numFmtId="9" fontId="20" fillId="0" borderId="0" applyFont="0" applyFill="0" applyBorder="0" applyAlignment="0" applyProtection="0"/>
    <xf numFmtId="166" fontId="11" fillId="3" borderId="0" applyNumberFormat="0" applyBorder="0" applyAlignment="0" applyProtection="0"/>
    <xf numFmtId="166" fontId="11" fillId="4" borderId="0" applyNumberFormat="0" applyBorder="0" applyAlignment="0" applyProtection="0"/>
    <xf numFmtId="0" fontId="10" fillId="0" borderId="0"/>
    <xf numFmtId="9" fontId="10" fillId="0" borderId="0" applyFont="0" applyFill="0" applyBorder="0" applyAlignment="0" applyProtection="0"/>
    <xf numFmtId="166" fontId="20" fillId="0" borderId="0"/>
    <xf numFmtId="44" fontId="20" fillId="0" borderId="0" applyFont="0" applyFill="0" applyBorder="0" applyAlignment="0" applyProtection="0"/>
    <xf numFmtId="9" fontId="20" fillId="0" borderId="0" applyFont="0" applyFill="0" applyBorder="0" applyAlignment="0" applyProtection="0"/>
    <xf numFmtId="0" fontId="9" fillId="0" borderId="0"/>
    <xf numFmtId="44" fontId="9" fillId="0" borderId="0" applyFont="0" applyFill="0" applyBorder="0" applyAlignment="0" applyProtection="0"/>
    <xf numFmtId="0" fontId="8" fillId="0" borderId="0"/>
    <xf numFmtId="44" fontId="8" fillId="0" borderId="0" applyFont="0" applyFill="0" applyBorder="0" applyAlignment="0" applyProtection="0"/>
  </cellStyleXfs>
  <cellXfs count="401">
    <xf numFmtId="166" fontId="0" fillId="0" borderId="0" xfId="0"/>
    <xf numFmtId="166" fontId="14" fillId="0" borderId="0" xfId="0" applyFont="1"/>
    <xf numFmtId="166" fontId="12" fillId="0" borderId="0" xfId="0" applyFont="1"/>
    <xf numFmtId="166" fontId="12" fillId="0" borderId="0" xfId="0" applyFont="1" applyAlignment="1">
      <alignment horizontal="center" vertical="center"/>
    </xf>
    <xf numFmtId="166" fontId="12" fillId="5" borderId="0" xfId="0" applyFont="1" applyFill="1"/>
    <xf numFmtId="166" fontId="14" fillId="0" borderId="6" xfId="73" applyFont="1" applyFill="1" applyBorder="1"/>
    <xf numFmtId="8" fontId="18" fillId="0" borderId="0" xfId="0" applyNumberFormat="1" applyFont="1" applyAlignment="1">
      <alignment vertical="center"/>
    </xf>
    <xf numFmtId="166" fontId="14" fillId="0" borderId="6" xfId="72" applyFont="1" applyFill="1" applyBorder="1"/>
    <xf numFmtId="166" fontId="14" fillId="0" borderId="7" xfId="72" applyFont="1" applyFill="1" applyBorder="1"/>
    <xf numFmtId="166" fontId="14" fillId="0" borderId="8" xfId="73" applyFont="1" applyFill="1" applyBorder="1"/>
    <xf numFmtId="165" fontId="14" fillId="0" borderId="4" xfId="72" applyNumberFormat="1" applyFont="1" applyFill="1" applyBorder="1"/>
    <xf numFmtId="8" fontId="14" fillId="0" borderId="4" xfId="73" applyNumberFormat="1" applyFont="1" applyFill="1" applyBorder="1"/>
    <xf numFmtId="8" fontId="14" fillId="0" borderId="12" xfId="73" applyNumberFormat="1" applyFont="1" applyFill="1" applyBorder="1"/>
    <xf numFmtId="166" fontId="19" fillId="0" borderId="0" xfId="0" applyFont="1" applyAlignment="1">
      <alignment horizontal="center"/>
    </xf>
    <xf numFmtId="166" fontId="0" fillId="0" borderId="2" xfId="0" applyBorder="1"/>
    <xf numFmtId="166" fontId="19" fillId="0" borderId="14" xfId="0" applyFont="1" applyBorder="1" applyAlignment="1">
      <alignment horizontal="center"/>
    </xf>
    <xf numFmtId="164" fontId="0" fillId="0" borderId="2" xfId="0" applyNumberFormat="1" applyBorder="1"/>
    <xf numFmtId="166" fontId="0" fillId="0" borderId="0" xfId="0" applyAlignment="1">
      <alignment horizontal="center"/>
    </xf>
    <xf numFmtId="164" fontId="0" fillId="0" borderId="0" xfId="0" applyNumberFormat="1"/>
    <xf numFmtId="166" fontId="19" fillId="0" borderId="0" xfId="0" applyFont="1"/>
    <xf numFmtId="164" fontId="14" fillId="0" borderId="0" xfId="73" applyNumberFormat="1" applyFont="1" applyFill="1" applyBorder="1"/>
    <xf numFmtId="164" fontId="18" fillId="0" borderId="0" xfId="0" applyNumberFormat="1" applyFont="1" applyAlignment="1">
      <alignment vertical="center"/>
    </xf>
    <xf numFmtId="166" fontId="0" fillId="8" borderId="0" xfId="0" applyFill="1" applyAlignment="1">
      <alignment horizontal="center"/>
    </xf>
    <xf numFmtId="1" fontId="0" fillId="8" borderId="2" xfId="0" applyNumberFormat="1" applyFill="1" applyBorder="1" applyAlignment="1">
      <alignment horizontal="center"/>
    </xf>
    <xf numFmtId="0" fontId="0" fillId="8" borderId="0" xfId="0" applyNumberFormat="1" applyFill="1" applyAlignment="1">
      <alignment horizontal="center"/>
    </xf>
    <xf numFmtId="0" fontId="0" fillId="8" borderId="2" xfId="0" applyNumberFormat="1" applyFill="1" applyBorder="1" applyAlignment="1">
      <alignment horizontal="center"/>
    </xf>
    <xf numFmtId="165" fontId="0" fillId="0" borderId="0" xfId="0" applyNumberFormat="1"/>
    <xf numFmtId="165" fontId="0" fillId="0" borderId="0" xfId="0" applyNumberFormat="1" applyAlignment="1">
      <alignment horizontal="center"/>
    </xf>
    <xf numFmtId="165" fontId="19" fillId="0" borderId="0" xfId="0" applyNumberFormat="1" applyFont="1" applyAlignment="1">
      <alignment horizontal="center"/>
    </xf>
    <xf numFmtId="165" fontId="20" fillId="0" borderId="0" xfId="0" applyNumberFormat="1" applyFont="1" applyAlignment="1">
      <alignment horizontal="center"/>
    </xf>
    <xf numFmtId="0" fontId="19" fillId="0" borderId="0" xfId="0" applyNumberFormat="1" applyFont="1" applyAlignment="1">
      <alignment horizontal="center"/>
    </xf>
    <xf numFmtId="166" fontId="0" fillId="0" borderId="0" xfId="0" applyAlignment="1">
      <alignment vertical="top"/>
    </xf>
    <xf numFmtId="0" fontId="14" fillId="0" borderId="0" xfId="252" applyFont="1" applyAlignment="1">
      <alignment horizontal="center"/>
    </xf>
    <xf numFmtId="0" fontId="14" fillId="0" borderId="0" xfId="252" applyFont="1"/>
    <xf numFmtId="0" fontId="10" fillId="0" borderId="0" xfId="252"/>
    <xf numFmtId="0" fontId="10" fillId="0" borderId="0" xfId="252" applyAlignment="1">
      <alignment horizontal="center"/>
    </xf>
    <xf numFmtId="14" fontId="10" fillId="0" borderId="0" xfId="252" applyNumberFormat="1" applyAlignment="1">
      <alignment horizontal="center"/>
    </xf>
    <xf numFmtId="2" fontId="10" fillId="0" borderId="0" xfId="252" applyNumberFormat="1" applyAlignment="1">
      <alignment horizontal="center"/>
    </xf>
    <xf numFmtId="165" fontId="10" fillId="0" borderId="22" xfId="252" applyNumberFormat="1" applyBorder="1" applyAlignment="1">
      <alignment horizontal="center"/>
    </xf>
    <xf numFmtId="9" fontId="10" fillId="0" borderId="0" xfId="252" applyNumberFormat="1"/>
    <xf numFmtId="166" fontId="17" fillId="0" borderId="0" xfId="0" applyFont="1" applyAlignment="1">
      <alignment horizontal="center" vertical="center"/>
    </xf>
    <xf numFmtId="166" fontId="17" fillId="0" borderId="0" xfId="71" applyFont="1" applyFill="1" applyBorder="1" applyAlignment="1">
      <alignment horizontal="center" vertical="center" wrapText="1"/>
    </xf>
    <xf numFmtId="165" fontId="10" fillId="0" borderId="0" xfId="252" applyNumberFormat="1" applyAlignment="1">
      <alignment horizontal="center"/>
    </xf>
    <xf numFmtId="8" fontId="18" fillId="0" borderId="25" xfId="0" applyNumberFormat="1" applyFont="1" applyBorder="1" applyAlignment="1">
      <alignment vertical="center"/>
    </xf>
    <xf numFmtId="8" fontId="14" fillId="0" borderId="33" xfId="73" applyNumberFormat="1" applyFont="1" applyFill="1" applyBorder="1"/>
    <xf numFmtId="166" fontId="29" fillId="0" borderId="0" xfId="0" applyFont="1"/>
    <xf numFmtId="164" fontId="30" fillId="0" borderId="5" xfId="73" applyNumberFormat="1" applyFont="1" applyFill="1" applyBorder="1"/>
    <xf numFmtId="166" fontId="17" fillId="5" borderId="0" xfId="71" applyFont="1" applyFill="1" applyBorder="1" applyAlignment="1">
      <alignment horizontal="center" vertical="center" wrapText="1"/>
    </xf>
    <xf numFmtId="166" fontId="17" fillId="2" borderId="36" xfId="71" applyFont="1" applyBorder="1" applyAlignment="1">
      <alignment horizontal="center" vertical="center" wrapText="1"/>
    </xf>
    <xf numFmtId="166" fontId="17" fillId="2" borderId="37" xfId="71" applyFont="1" applyBorder="1" applyAlignment="1">
      <alignment horizontal="center" vertical="center" wrapText="1"/>
    </xf>
    <xf numFmtId="166" fontId="25" fillId="2" borderId="38" xfId="71" applyFont="1" applyBorder="1" applyAlignment="1">
      <alignment horizontal="center" vertical="center" wrapText="1"/>
    </xf>
    <xf numFmtId="166" fontId="26" fillId="2" borderId="36" xfId="71" applyFont="1" applyBorder="1" applyAlignment="1">
      <alignment horizontal="center" vertical="center" wrapText="1"/>
    </xf>
    <xf numFmtId="166" fontId="17" fillId="2" borderId="38" xfId="71" applyFont="1" applyBorder="1" applyAlignment="1">
      <alignment horizontal="center" vertical="center" wrapText="1"/>
    </xf>
    <xf numFmtId="166" fontId="30" fillId="2" borderId="39" xfId="71" applyFont="1" applyBorder="1" applyAlignment="1">
      <alignment horizontal="center" vertical="center" wrapText="1"/>
    </xf>
    <xf numFmtId="166" fontId="17" fillId="2" borderId="40" xfId="71" applyFont="1" applyBorder="1" applyAlignment="1">
      <alignment horizontal="center" vertical="center"/>
    </xf>
    <xf numFmtId="8" fontId="14" fillId="0" borderId="35" xfId="73" applyNumberFormat="1" applyFont="1" applyFill="1" applyBorder="1"/>
    <xf numFmtId="44" fontId="29" fillId="0" borderId="16" xfId="73" applyNumberFormat="1" applyFont="1" applyFill="1" applyBorder="1"/>
    <xf numFmtId="8" fontId="29" fillId="0" borderId="16" xfId="73" applyNumberFormat="1" applyFont="1" applyFill="1" applyBorder="1"/>
    <xf numFmtId="8" fontId="29" fillId="0" borderId="16" xfId="72" applyNumberFormat="1" applyFont="1" applyFill="1" applyBorder="1" applyAlignment="1">
      <alignment horizontal="right"/>
    </xf>
    <xf numFmtId="8" fontId="29" fillId="0" borderId="42" xfId="72" applyNumberFormat="1" applyFont="1" applyFill="1" applyBorder="1" applyAlignment="1">
      <alignment horizontal="right"/>
    </xf>
    <xf numFmtId="40" fontId="14" fillId="0" borderId="43" xfId="73" applyNumberFormat="1" applyFont="1" applyFill="1" applyBorder="1"/>
    <xf numFmtId="8" fontId="30" fillId="0" borderId="5" xfId="73" applyNumberFormat="1" applyFont="1" applyFill="1" applyBorder="1"/>
    <xf numFmtId="8" fontId="18" fillId="0" borderId="21" xfId="0" applyNumberFormat="1" applyFont="1" applyBorder="1" applyAlignment="1">
      <alignment vertical="center"/>
    </xf>
    <xf numFmtId="8" fontId="18" fillId="0" borderId="15" xfId="0" applyNumberFormat="1" applyFont="1" applyBorder="1" applyAlignment="1">
      <alignment vertical="center"/>
    </xf>
    <xf numFmtId="164" fontId="29" fillId="0" borderId="16" xfId="0" applyNumberFormat="1" applyFont="1" applyBorder="1" applyAlignment="1">
      <alignment vertical="center"/>
    </xf>
    <xf numFmtId="165" fontId="14" fillId="0" borderId="33" xfId="72" applyNumberFormat="1" applyFont="1" applyFill="1" applyBorder="1"/>
    <xf numFmtId="166" fontId="0" fillId="0" borderId="0" xfId="0" applyAlignment="1">
      <alignment horizontal="center" vertical="top"/>
    </xf>
    <xf numFmtId="0" fontId="8" fillId="0" borderId="0" xfId="259"/>
    <xf numFmtId="0" fontId="14" fillId="0" borderId="0" xfId="259" applyFont="1"/>
    <xf numFmtId="168" fontId="8" fillId="0" borderId="0" xfId="259" applyNumberFormat="1"/>
    <xf numFmtId="1" fontId="8" fillId="0" borderId="25" xfId="259" applyNumberFormat="1" applyBorder="1"/>
    <xf numFmtId="9" fontId="8" fillId="0" borderId="0" xfId="259" applyNumberFormat="1"/>
    <xf numFmtId="168" fontId="8" fillId="0" borderId="25" xfId="259" applyNumberFormat="1" applyBorder="1"/>
    <xf numFmtId="168" fontId="14" fillId="0" borderId="0" xfId="260" applyNumberFormat="1" applyFont="1"/>
    <xf numFmtId="0" fontId="8" fillId="5" borderId="0" xfId="259" applyFill="1"/>
    <xf numFmtId="0" fontId="14" fillId="5" borderId="0" xfId="259" applyFont="1" applyFill="1"/>
    <xf numFmtId="0" fontId="14" fillId="19" borderId="45" xfId="259" applyFont="1" applyFill="1" applyBorder="1" applyAlignment="1">
      <alignment horizontal="center"/>
    </xf>
    <xf numFmtId="0" fontId="14" fillId="19" borderId="46" xfId="259" applyFont="1" applyFill="1" applyBorder="1" applyAlignment="1">
      <alignment horizontal="center"/>
    </xf>
    <xf numFmtId="0" fontId="14" fillId="19" borderId="47" xfId="259" applyFont="1" applyFill="1" applyBorder="1" applyAlignment="1">
      <alignment horizontal="center"/>
    </xf>
    <xf numFmtId="0" fontId="14" fillId="19" borderId="48" xfId="259" applyFont="1" applyFill="1" applyBorder="1" applyAlignment="1">
      <alignment horizontal="center"/>
    </xf>
    <xf numFmtId="0" fontId="14" fillId="0" borderId="53" xfId="259" applyFont="1" applyBorder="1" applyAlignment="1">
      <alignment horizontal="center"/>
    </xf>
    <xf numFmtId="0" fontId="8" fillId="22" borderId="53" xfId="259" applyFill="1" applyBorder="1" applyAlignment="1">
      <alignment horizontal="center"/>
    </xf>
    <xf numFmtId="168" fontId="18" fillId="22" borderId="49" xfId="259" applyNumberFormat="1" applyFont="1" applyFill="1" applyBorder="1" applyAlignment="1">
      <alignment horizontal="center"/>
    </xf>
    <xf numFmtId="168" fontId="18" fillId="22" borderId="50" xfId="259" applyNumberFormat="1" applyFont="1" applyFill="1" applyBorder="1" applyAlignment="1">
      <alignment horizontal="center"/>
    </xf>
    <xf numFmtId="9" fontId="8" fillId="22" borderId="0" xfId="259" applyNumberFormat="1" applyFill="1" applyAlignment="1">
      <alignment horizontal="center"/>
    </xf>
    <xf numFmtId="168" fontId="0" fillId="0" borderId="53" xfId="260" applyNumberFormat="1" applyFont="1" applyFill="1" applyBorder="1"/>
    <xf numFmtId="168" fontId="0" fillId="0" borderId="0" xfId="260" applyNumberFormat="1" applyFont="1" applyFill="1" applyBorder="1"/>
    <xf numFmtId="168" fontId="14" fillId="0" borderId="0" xfId="259" applyNumberFormat="1" applyFont="1"/>
    <xf numFmtId="0" fontId="14" fillId="23" borderId="45" xfId="259" applyFont="1" applyFill="1" applyBorder="1" applyAlignment="1">
      <alignment horizontal="center"/>
    </xf>
    <xf numFmtId="0" fontId="14" fillId="24" borderId="51" xfId="259" applyFont="1" applyFill="1" applyBorder="1" applyAlignment="1">
      <alignment horizontal="center"/>
    </xf>
    <xf numFmtId="0" fontId="14" fillId="19" borderId="51" xfId="259" applyFont="1" applyFill="1" applyBorder="1" applyAlignment="1">
      <alignment horizontal="center"/>
    </xf>
    <xf numFmtId="0" fontId="14" fillId="17" borderId="51" xfId="259" applyFont="1" applyFill="1" applyBorder="1" applyAlignment="1">
      <alignment horizontal="center"/>
    </xf>
    <xf numFmtId="0" fontId="8" fillId="25" borderId="53" xfId="259" applyFill="1" applyBorder="1" applyAlignment="1">
      <alignment horizontal="center"/>
    </xf>
    <xf numFmtId="168" fontId="8" fillId="26" borderId="52" xfId="259" applyNumberFormat="1" applyFill="1" applyBorder="1"/>
    <xf numFmtId="0" fontId="8" fillId="22" borderId="52" xfId="259" applyFill="1" applyBorder="1" applyAlignment="1">
      <alignment horizontal="center"/>
    </xf>
    <xf numFmtId="168" fontId="8" fillId="22" borderId="0" xfId="259" applyNumberFormat="1" applyFill="1"/>
    <xf numFmtId="168" fontId="8" fillId="10" borderId="52" xfId="259" applyNumberFormat="1" applyFill="1" applyBorder="1"/>
    <xf numFmtId="44" fontId="8" fillId="0" borderId="0" xfId="259" applyNumberFormat="1"/>
    <xf numFmtId="44" fontId="14" fillId="5" borderId="0" xfId="259" applyNumberFormat="1" applyFont="1" applyFill="1"/>
    <xf numFmtId="165" fontId="23" fillId="0" borderId="0" xfId="0" applyNumberFormat="1" applyFont="1" applyAlignment="1">
      <alignment horizontal="center"/>
    </xf>
    <xf numFmtId="0" fontId="10" fillId="0" borderId="54" xfId="252" applyBorder="1" applyAlignment="1">
      <alignment horizontal="center"/>
    </xf>
    <xf numFmtId="165" fontId="10" fillId="0" borderId="54" xfId="252" applyNumberFormat="1" applyBorder="1" applyAlignment="1">
      <alignment horizontal="center"/>
    </xf>
    <xf numFmtId="2" fontId="10" fillId="0" borderId="54" xfId="252" applyNumberFormat="1" applyBorder="1" applyAlignment="1">
      <alignment horizontal="center"/>
    </xf>
    <xf numFmtId="0" fontId="10" fillId="10" borderId="54" xfId="252" applyFill="1" applyBorder="1" applyAlignment="1">
      <alignment horizontal="center"/>
    </xf>
    <xf numFmtId="165" fontId="10" fillId="10" borderId="54" xfId="252" applyNumberFormat="1" applyFill="1" applyBorder="1" applyAlignment="1">
      <alignment horizontal="center"/>
    </xf>
    <xf numFmtId="2" fontId="10" fillId="10" borderId="54" xfId="252" applyNumberFormat="1" applyFill="1" applyBorder="1" applyAlignment="1">
      <alignment horizontal="center"/>
    </xf>
    <xf numFmtId="9" fontId="0" fillId="10" borderId="54" xfId="253" applyFont="1" applyFill="1" applyBorder="1" applyAlignment="1">
      <alignment horizontal="center"/>
    </xf>
    <xf numFmtId="9" fontId="0" fillId="0" borderId="54" xfId="253" applyFont="1" applyFill="1" applyBorder="1" applyAlignment="1">
      <alignment horizontal="center"/>
    </xf>
    <xf numFmtId="166" fontId="14" fillId="0" borderId="0" xfId="0" applyFont="1" applyAlignment="1">
      <alignment horizontal="center" wrapText="1"/>
    </xf>
    <xf numFmtId="166" fontId="14" fillId="0" borderId="19" xfId="0" applyFont="1" applyBorder="1" applyAlignment="1">
      <alignment horizontal="center"/>
    </xf>
    <xf numFmtId="1" fontId="0" fillId="0" borderId="20" xfId="0" applyNumberFormat="1" applyBorder="1" applyAlignment="1">
      <alignment horizontal="center"/>
    </xf>
    <xf numFmtId="167" fontId="0" fillId="0" borderId="20" xfId="0" applyNumberFormat="1" applyBorder="1" applyAlignment="1">
      <alignment horizontal="center"/>
    </xf>
    <xf numFmtId="167" fontId="14" fillId="0" borderId="20" xfId="0" applyNumberFormat="1" applyFont="1" applyBorder="1" applyAlignment="1">
      <alignment horizontal="right"/>
    </xf>
    <xf numFmtId="167" fontId="0" fillId="0" borderId="55" xfId="0" applyNumberFormat="1" applyBorder="1"/>
    <xf numFmtId="9" fontId="0" fillId="0" borderId="20" xfId="249" applyFont="1" applyFill="1" applyBorder="1" applyAlignment="1">
      <alignment horizontal="center"/>
    </xf>
    <xf numFmtId="167" fontId="0" fillId="0" borderId="0" xfId="0" applyNumberFormat="1" applyAlignment="1">
      <alignment horizontal="right"/>
    </xf>
    <xf numFmtId="166" fontId="0" fillId="0" borderId="0" xfId="0" applyAlignment="1">
      <alignment horizontal="right"/>
    </xf>
    <xf numFmtId="164" fontId="0" fillId="0" borderId="0" xfId="0" applyNumberFormat="1" applyAlignment="1">
      <alignment horizontal="right"/>
    </xf>
    <xf numFmtId="164" fontId="0" fillId="0" borderId="0" xfId="0" applyNumberFormat="1" applyAlignment="1">
      <alignment vertical="top"/>
    </xf>
    <xf numFmtId="8" fontId="18" fillId="0" borderId="56" xfId="0" applyNumberFormat="1" applyFont="1" applyBorder="1" applyAlignment="1">
      <alignment vertical="center"/>
    </xf>
    <xf numFmtId="164" fontId="29" fillId="0" borderId="42" xfId="0" applyNumberFormat="1" applyFont="1" applyBorder="1" applyAlignment="1">
      <alignment vertical="center"/>
    </xf>
    <xf numFmtId="165" fontId="10" fillId="0" borderId="56" xfId="252" applyNumberFormat="1" applyBorder="1" applyAlignment="1">
      <alignment horizontal="center"/>
    </xf>
    <xf numFmtId="0" fontId="8" fillId="22" borderId="59" xfId="259" applyFill="1" applyBorder="1" applyAlignment="1">
      <alignment horizontal="center"/>
    </xf>
    <xf numFmtId="168" fontId="18" fillId="22" borderId="60" xfId="259" applyNumberFormat="1" applyFont="1" applyFill="1" applyBorder="1" applyAlignment="1">
      <alignment horizontal="center"/>
    </xf>
    <xf numFmtId="168" fontId="18" fillId="22" borderId="61" xfId="259" applyNumberFormat="1" applyFont="1" applyFill="1" applyBorder="1" applyAlignment="1">
      <alignment horizontal="right"/>
    </xf>
    <xf numFmtId="9" fontId="8" fillId="22" borderId="62" xfId="259" applyNumberFormat="1" applyFill="1" applyBorder="1" applyAlignment="1">
      <alignment horizontal="center"/>
    </xf>
    <xf numFmtId="0" fontId="8" fillId="25" borderId="59" xfId="259" applyFill="1" applyBorder="1" applyAlignment="1">
      <alignment horizontal="center"/>
    </xf>
    <xf numFmtId="168" fontId="8" fillId="26" borderId="63" xfId="259" applyNumberFormat="1" applyFill="1" applyBorder="1"/>
    <xf numFmtId="0" fontId="8" fillId="22" borderId="63" xfId="259" applyFill="1" applyBorder="1" applyAlignment="1">
      <alignment horizontal="center"/>
    </xf>
    <xf numFmtId="168" fontId="8" fillId="22" borderId="62" xfId="259" applyNumberFormat="1" applyFill="1" applyBorder="1"/>
    <xf numFmtId="168" fontId="14" fillId="10" borderId="63" xfId="259" applyNumberFormat="1" applyFont="1" applyFill="1" applyBorder="1"/>
    <xf numFmtId="166" fontId="0" fillId="0" borderId="53" xfId="0" applyBorder="1"/>
    <xf numFmtId="166" fontId="0" fillId="0" borderId="58" xfId="0" applyBorder="1"/>
    <xf numFmtId="166" fontId="19" fillId="0" borderId="53" xfId="0" applyFont="1" applyBorder="1"/>
    <xf numFmtId="166" fontId="0" fillId="0" borderId="59" xfId="0" applyBorder="1"/>
    <xf numFmtId="166" fontId="0" fillId="0" borderId="62" xfId="0" applyBorder="1"/>
    <xf numFmtId="164" fontId="0" fillId="0" borderId="64" xfId="0" applyNumberFormat="1" applyBorder="1"/>
    <xf numFmtId="165" fontId="0" fillId="0" borderId="25" xfId="0" applyNumberFormat="1" applyBorder="1" applyAlignment="1">
      <alignment horizontal="center"/>
    </xf>
    <xf numFmtId="168" fontId="14" fillId="5" borderId="0" xfId="259" applyNumberFormat="1" applyFont="1" applyFill="1"/>
    <xf numFmtId="0" fontId="8" fillId="0" borderId="10" xfId="259" applyBorder="1"/>
    <xf numFmtId="0" fontId="8" fillId="0" borderId="62" xfId="259" applyBorder="1"/>
    <xf numFmtId="9" fontId="8" fillId="22" borderId="63" xfId="259" applyNumberFormat="1" applyFill="1" applyBorder="1" applyAlignment="1">
      <alignment horizontal="center"/>
    </xf>
    <xf numFmtId="168" fontId="8" fillId="10" borderId="63" xfId="259" applyNumberFormat="1" applyFill="1" applyBorder="1"/>
    <xf numFmtId="8" fontId="7" fillId="0" borderId="11" xfId="72" applyNumberFormat="1" applyFont="1" applyFill="1" applyBorder="1" applyAlignment="1">
      <alignment horizontal="right"/>
    </xf>
    <xf numFmtId="0" fontId="7" fillId="5" borderId="0" xfId="259" applyFont="1" applyFill="1"/>
    <xf numFmtId="166" fontId="14" fillId="0" borderId="0" xfId="0" applyFont="1" applyAlignment="1">
      <alignment horizontal="center"/>
    </xf>
    <xf numFmtId="0" fontId="10" fillId="0" borderId="0" xfId="252" applyAlignment="1">
      <alignment horizontal="left" vertical="top" wrapText="1"/>
    </xf>
    <xf numFmtId="0" fontId="27" fillId="0" borderId="0" xfId="252" applyFont="1" applyAlignment="1">
      <alignment horizontal="center" vertical="center" textRotation="90"/>
    </xf>
    <xf numFmtId="0" fontId="14" fillId="0" borderId="0" xfId="259" applyFont="1" applyAlignment="1">
      <alignment horizontal="center"/>
    </xf>
    <xf numFmtId="164" fontId="0" fillId="0" borderId="0" xfId="0" applyNumberFormat="1" applyAlignment="1">
      <alignment horizontal="center"/>
    </xf>
    <xf numFmtId="166" fontId="19" fillId="0" borderId="58" xfId="0" applyFont="1" applyBorder="1" applyAlignment="1">
      <alignment horizontal="center" vertical="center"/>
    </xf>
    <xf numFmtId="0" fontId="0" fillId="0" borderId="58" xfId="0" applyNumberFormat="1" applyBorder="1"/>
    <xf numFmtId="166" fontId="0" fillId="9" borderId="58" xfId="0" applyFill="1" applyBorder="1"/>
    <xf numFmtId="166" fontId="0" fillId="9" borderId="58" xfId="0" applyFill="1" applyBorder="1" applyAlignment="1">
      <alignment wrapText="1"/>
    </xf>
    <xf numFmtId="166" fontId="0" fillId="0" borderId="58" xfId="0" applyBorder="1" applyAlignment="1">
      <alignment wrapText="1"/>
    </xf>
    <xf numFmtId="166" fontId="19" fillId="0" borderId="58" xfId="0" applyFont="1" applyBorder="1" applyAlignment="1">
      <alignment wrapText="1"/>
    </xf>
    <xf numFmtId="9" fontId="7" fillId="0" borderId="20" xfId="249" applyFont="1" applyFill="1" applyBorder="1" applyAlignment="1">
      <alignment horizontal="center"/>
    </xf>
    <xf numFmtId="1" fontId="7" fillId="0" borderId="20" xfId="0" applyNumberFormat="1" applyFont="1" applyBorder="1" applyAlignment="1">
      <alignment horizontal="center"/>
    </xf>
    <xf numFmtId="167" fontId="7" fillId="0" borderId="20" xfId="0" applyNumberFormat="1" applyFont="1" applyBorder="1" applyAlignment="1">
      <alignment horizontal="center"/>
    </xf>
    <xf numFmtId="166" fontId="7" fillId="0" borderId="0" xfId="0" applyFont="1"/>
    <xf numFmtId="166" fontId="7" fillId="5" borderId="0" xfId="0" applyFont="1" applyFill="1"/>
    <xf numFmtId="166" fontId="7" fillId="6" borderId="23" xfId="0" applyFont="1" applyFill="1" applyBorder="1" applyAlignment="1">
      <alignment horizontal="center" vertical="center"/>
    </xf>
    <xf numFmtId="166" fontId="17" fillId="2" borderId="73" xfId="71" applyFont="1" applyBorder="1" applyAlignment="1">
      <alignment horizontal="center" vertical="center" wrapText="1"/>
    </xf>
    <xf numFmtId="166" fontId="17" fillId="2" borderId="74" xfId="71" applyFont="1" applyBorder="1" applyAlignment="1">
      <alignment horizontal="center" vertical="center" wrapText="1"/>
    </xf>
    <xf numFmtId="166" fontId="17" fillId="2" borderId="74" xfId="71" applyFont="1" applyBorder="1" applyAlignment="1">
      <alignment horizontal="center" vertical="center"/>
    </xf>
    <xf numFmtId="166" fontId="17" fillId="2" borderId="75" xfId="71" applyFont="1" applyBorder="1" applyAlignment="1">
      <alignment horizontal="center" vertical="center" wrapText="1"/>
    </xf>
    <xf numFmtId="166" fontId="17" fillId="2" borderId="76" xfId="71" applyFont="1" applyBorder="1" applyAlignment="1">
      <alignment horizontal="center" vertical="center" wrapText="1"/>
    </xf>
    <xf numFmtId="166" fontId="30" fillId="2" borderId="77" xfId="71" applyFont="1" applyBorder="1" applyAlignment="1">
      <alignment horizontal="center" vertical="center" wrapText="1"/>
    </xf>
    <xf numFmtId="166" fontId="17" fillId="2" borderId="78" xfId="71" applyFont="1" applyBorder="1" applyAlignment="1">
      <alignment horizontal="center" vertical="center"/>
    </xf>
    <xf numFmtId="166" fontId="7" fillId="0" borderId="11" xfId="0" applyFont="1" applyBorder="1"/>
    <xf numFmtId="166" fontId="14" fillId="0" borderId="69" xfId="72" applyFont="1" applyFill="1" applyBorder="1"/>
    <xf numFmtId="165" fontId="7" fillId="0" borderId="21" xfId="72" applyNumberFormat="1" applyFont="1" applyFill="1" applyBorder="1" applyAlignment="1">
      <alignment horizontal="right"/>
    </xf>
    <xf numFmtId="8" fontId="18" fillId="0" borderId="79" xfId="0" applyNumberFormat="1" applyFont="1" applyBorder="1" applyAlignment="1">
      <alignment vertical="center"/>
    </xf>
    <xf numFmtId="164" fontId="18" fillId="0" borderId="79" xfId="0" applyNumberFormat="1" applyFont="1" applyBorder="1" applyAlignment="1">
      <alignment vertical="center"/>
    </xf>
    <xf numFmtId="40" fontId="7" fillId="0" borderId="80" xfId="72" applyNumberFormat="1" applyFont="1" applyFill="1" applyBorder="1"/>
    <xf numFmtId="8" fontId="7" fillId="0" borderId="79" xfId="72" applyNumberFormat="1" applyFont="1" applyFill="1" applyBorder="1"/>
    <xf numFmtId="8" fontId="7" fillId="0" borderId="24" xfId="72" applyNumberFormat="1" applyFont="1" applyFill="1" applyBorder="1"/>
    <xf numFmtId="44" fontId="29" fillId="0" borderId="81" xfId="72" applyNumberFormat="1" applyFont="1" applyFill="1" applyBorder="1"/>
    <xf numFmtId="8" fontId="7" fillId="0" borderId="35" xfId="72" applyNumberFormat="1" applyFont="1" applyFill="1" applyBorder="1"/>
    <xf numFmtId="164" fontId="18" fillId="0" borderId="82" xfId="0" applyNumberFormat="1" applyFont="1" applyBorder="1" applyAlignment="1">
      <alignment vertical="center"/>
    </xf>
    <xf numFmtId="14" fontId="7" fillId="0" borderId="0" xfId="0" applyNumberFormat="1" applyFont="1" applyAlignment="1">
      <alignment horizontal="center"/>
    </xf>
    <xf numFmtId="165" fontId="7" fillId="0" borderId="0" xfId="73" applyNumberFormat="1" applyFont="1" applyFill="1" applyAlignment="1">
      <alignment horizontal="right"/>
    </xf>
    <xf numFmtId="164" fontId="7" fillId="0" borderId="15" xfId="0" applyNumberFormat="1" applyFont="1" applyBorder="1" applyAlignment="1">
      <alignment vertical="center"/>
    </xf>
    <xf numFmtId="164" fontId="7" fillId="0" borderId="0" xfId="0" applyNumberFormat="1" applyFont="1" applyAlignment="1">
      <alignment vertical="center"/>
    </xf>
    <xf numFmtId="40" fontId="7" fillId="0" borderId="3" xfId="73" applyNumberFormat="1" applyFont="1" applyFill="1" applyBorder="1"/>
    <xf numFmtId="8" fontId="7" fillId="0" borderId="15" xfId="73" applyNumberFormat="1" applyFont="1" applyFill="1" applyBorder="1"/>
    <xf numFmtId="8" fontId="7" fillId="0" borderId="11" xfId="73" applyNumberFormat="1" applyFont="1" applyFill="1" applyBorder="1"/>
    <xf numFmtId="8" fontId="7" fillId="0" borderId="0" xfId="73" applyNumberFormat="1" applyFont="1" applyFill="1" applyBorder="1"/>
    <xf numFmtId="164" fontId="7" fillId="0" borderId="18" xfId="0" applyNumberFormat="1" applyFont="1" applyBorder="1" applyAlignment="1">
      <alignment vertical="center"/>
    </xf>
    <xf numFmtId="8" fontId="7" fillId="0" borderId="15" xfId="0" applyNumberFormat="1" applyFont="1" applyBorder="1" applyAlignment="1">
      <alignment vertical="center"/>
    </xf>
    <xf numFmtId="8" fontId="7" fillId="0" borderId="0" xfId="0" applyNumberFormat="1" applyFont="1" applyAlignment="1">
      <alignment vertical="center"/>
    </xf>
    <xf numFmtId="40" fontId="7" fillId="0" borderId="3" xfId="72" applyNumberFormat="1" applyFont="1" applyFill="1" applyBorder="1" applyAlignment="1">
      <alignment horizontal="right"/>
    </xf>
    <xf numFmtId="8" fontId="7" fillId="0" borderId="15" xfId="72" applyNumberFormat="1" applyFont="1" applyFill="1" applyBorder="1" applyAlignment="1">
      <alignment horizontal="right"/>
    </xf>
    <xf numFmtId="8" fontId="7" fillId="0" borderId="0" xfId="72" applyNumberFormat="1" applyFont="1" applyFill="1" applyBorder="1" applyAlignment="1">
      <alignment horizontal="right"/>
    </xf>
    <xf numFmtId="164" fontId="7" fillId="0" borderId="18" xfId="0" applyNumberFormat="1" applyFont="1" applyBorder="1" applyAlignment="1">
      <alignment horizontal="right" vertical="center"/>
    </xf>
    <xf numFmtId="165" fontId="7" fillId="0" borderId="25" xfId="72" applyNumberFormat="1" applyFont="1" applyFill="1" applyBorder="1" applyAlignment="1">
      <alignment horizontal="right"/>
    </xf>
    <xf numFmtId="164" fontId="7" fillId="0" borderId="56" xfId="0" applyNumberFormat="1" applyFont="1" applyBorder="1" applyAlignment="1">
      <alignment vertical="center"/>
    </xf>
    <xf numFmtId="40" fontId="7" fillId="0" borderId="41" xfId="72" applyNumberFormat="1" applyFont="1" applyFill="1" applyBorder="1" applyAlignment="1">
      <alignment horizontal="right"/>
    </xf>
    <xf numFmtId="8" fontId="7" fillId="0" borderId="56" xfId="72" applyNumberFormat="1" applyFont="1" applyFill="1" applyBorder="1" applyAlignment="1">
      <alignment horizontal="right"/>
    </xf>
    <xf numFmtId="8" fontId="7" fillId="0" borderId="32" xfId="72" applyNumberFormat="1" applyFont="1" applyFill="1" applyBorder="1" applyAlignment="1">
      <alignment horizontal="right"/>
    </xf>
    <xf numFmtId="164" fontId="7" fillId="0" borderId="44" xfId="0" applyNumberFormat="1" applyFont="1" applyBorder="1" applyAlignment="1">
      <alignment horizontal="right" vertical="center"/>
    </xf>
    <xf numFmtId="8" fontId="14" fillId="0" borderId="83" xfId="73" applyNumberFormat="1" applyFont="1" applyFill="1" applyBorder="1"/>
    <xf numFmtId="8" fontId="14" fillId="0" borderId="84" xfId="73" applyNumberFormat="1" applyFont="1" applyFill="1" applyBorder="1"/>
    <xf numFmtId="164" fontId="14" fillId="0" borderId="83" xfId="73" applyNumberFormat="1" applyFont="1" applyFill="1" applyBorder="1"/>
    <xf numFmtId="164" fontId="14" fillId="0" borderId="85" xfId="73" applyNumberFormat="1" applyFont="1" applyFill="1" applyBorder="1"/>
    <xf numFmtId="165" fontId="7" fillId="0" borderId="0" xfId="73" applyNumberFormat="1" applyFont="1" applyFill="1" applyBorder="1" applyAlignment="1">
      <alignment horizontal="right"/>
    </xf>
    <xf numFmtId="9" fontId="7" fillId="0" borderId="86" xfId="253" applyFont="1" applyBorder="1" applyAlignment="1">
      <alignment horizontal="center"/>
    </xf>
    <xf numFmtId="0" fontId="7" fillId="0" borderId="0" xfId="252" applyFont="1"/>
    <xf numFmtId="165" fontId="7" fillId="0" borderId="86" xfId="252" applyNumberFormat="1" applyFont="1" applyBorder="1" applyAlignment="1">
      <alignment horizontal="center"/>
    </xf>
    <xf numFmtId="0" fontId="7" fillId="10" borderId="54" xfId="252" applyFont="1" applyFill="1" applyBorder="1" applyAlignment="1">
      <alignment horizontal="center"/>
    </xf>
    <xf numFmtId="2" fontId="7" fillId="18" borderId="86" xfId="0" applyNumberFormat="1" applyFont="1" applyFill="1" applyBorder="1" applyAlignment="1">
      <alignment horizontal="center"/>
    </xf>
    <xf numFmtId="9" fontId="7" fillId="18" borderId="86" xfId="253" applyFont="1" applyFill="1" applyBorder="1" applyAlignment="1">
      <alignment horizontal="center"/>
    </xf>
    <xf numFmtId="10" fontId="7" fillId="18" borderId="86" xfId="249" applyNumberFormat="1" applyFont="1" applyFill="1" applyBorder="1" applyAlignment="1">
      <alignment horizontal="center"/>
    </xf>
    <xf numFmtId="0" fontId="7" fillId="0" borderId="54" xfId="252" applyFont="1" applyBorder="1" applyAlignment="1">
      <alignment horizontal="center"/>
    </xf>
    <xf numFmtId="2" fontId="7" fillId="0" borderId="86" xfId="0" applyNumberFormat="1" applyFont="1" applyBorder="1" applyAlignment="1">
      <alignment horizontal="center"/>
    </xf>
    <xf numFmtId="9" fontId="7" fillId="0" borderId="86" xfId="253" applyFont="1" applyFill="1" applyBorder="1" applyAlignment="1">
      <alignment horizontal="center"/>
    </xf>
    <xf numFmtId="10" fontId="7" fillId="0" borderId="86" xfId="249" applyNumberFormat="1" applyFont="1" applyFill="1" applyBorder="1" applyAlignment="1">
      <alignment horizontal="center"/>
    </xf>
    <xf numFmtId="2" fontId="7" fillId="0" borderId="0" xfId="253" applyNumberFormat="1" applyFont="1" applyBorder="1" applyAlignment="1">
      <alignment horizontal="center"/>
    </xf>
    <xf numFmtId="10" fontId="7" fillId="0" borderId="0" xfId="249" applyNumberFormat="1" applyFont="1" applyBorder="1" applyAlignment="1">
      <alignment horizontal="center"/>
    </xf>
    <xf numFmtId="166" fontId="28" fillId="15" borderId="86" xfId="0" applyFont="1" applyFill="1" applyBorder="1" applyAlignment="1">
      <alignment horizontal="center"/>
    </xf>
    <xf numFmtId="0" fontId="7" fillId="27" borderId="86" xfId="252" applyFont="1" applyFill="1" applyBorder="1" applyAlignment="1">
      <alignment horizontal="center"/>
    </xf>
    <xf numFmtId="165" fontId="7" fillId="27" borderId="86" xfId="252" applyNumberFormat="1" applyFont="1" applyFill="1" applyBorder="1" applyAlignment="1">
      <alignment horizontal="center"/>
    </xf>
    <xf numFmtId="9" fontId="7" fillId="27" borderId="86" xfId="253" applyFont="1" applyFill="1" applyBorder="1" applyAlignment="1">
      <alignment horizontal="center"/>
    </xf>
    <xf numFmtId="10" fontId="7" fillId="27" borderId="86" xfId="249" applyNumberFormat="1" applyFont="1" applyFill="1" applyBorder="1" applyAlignment="1">
      <alignment horizontal="center"/>
    </xf>
    <xf numFmtId="0" fontId="7" fillId="0" borderId="86" xfId="252" applyFont="1" applyBorder="1" applyAlignment="1">
      <alignment horizontal="center"/>
    </xf>
    <xf numFmtId="10" fontId="7" fillId="0" borderId="86" xfId="249" applyNumberFormat="1" applyFont="1" applyBorder="1" applyAlignment="1">
      <alignment horizontal="center"/>
    </xf>
    <xf numFmtId="168" fontId="7" fillId="0" borderId="0" xfId="259" applyNumberFormat="1" applyFont="1"/>
    <xf numFmtId="0" fontId="14" fillId="19" borderId="57" xfId="259" applyFont="1" applyFill="1" applyBorder="1" applyAlignment="1">
      <alignment horizontal="center"/>
    </xf>
    <xf numFmtId="168" fontId="8" fillId="26" borderId="87" xfId="259" applyNumberFormat="1" applyFill="1" applyBorder="1"/>
    <xf numFmtId="168" fontId="14" fillId="5" borderId="10" xfId="259" applyNumberFormat="1" applyFont="1" applyFill="1" applyBorder="1"/>
    <xf numFmtId="166" fontId="0" fillId="0" borderId="86" xfId="0" applyBorder="1" applyAlignment="1">
      <alignment vertical="top"/>
    </xf>
    <xf numFmtId="166" fontId="0" fillId="0" borderId="86" xfId="0" applyBorder="1" applyAlignment="1">
      <alignment horizontal="center" vertical="top"/>
    </xf>
    <xf numFmtId="166" fontId="0" fillId="0" borderId="86" xfId="0" applyBorder="1" applyAlignment="1">
      <alignment horizontal="center" vertical="top" wrapText="1"/>
    </xf>
    <xf numFmtId="166" fontId="23" fillId="0" borderId="86" xfId="0" applyFont="1" applyBorder="1" applyAlignment="1">
      <alignment horizontal="center"/>
    </xf>
    <xf numFmtId="166" fontId="24" fillId="0" borderId="86" xfId="0" applyFont="1" applyBorder="1"/>
    <xf numFmtId="165" fontId="24" fillId="0" borderId="86" xfId="0" applyNumberFormat="1" applyFont="1" applyBorder="1" applyAlignment="1">
      <alignment horizontal="center"/>
    </xf>
    <xf numFmtId="164" fontId="24" fillId="0" borderId="86" xfId="0" applyNumberFormat="1" applyFont="1" applyBorder="1"/>
    <xf numFmtId="0" fontId="23" fillId="0" borderId="86" xfId="0" applyNumberFormat="1" applyFont="1" applyBorder="1" applyAlignment="1">
      <alignment horizontal="center"/>
    </xf>
    <xf numFmtId="166" fontId="0" fillId="0" borderId="86" xfId="0" applyBorder="1"/>
    <xf numFmtId="165" fontId="20" fillId="0" borderId="86" xfId="0" applyNumberFormat="1" applyFont="1" applyBorder="1" applyAlignment="1">
      <alignment horizontal="center"/>
    </xf>
    <xf numFmtId="166" fontId="19" fillId="0" borderId="86" xfId="0" applyFont="1" applyBorder="1" applyAlignment="1">
      <alignment horizontal="center"/>
    </xf>
    <xf numFmtId="166" fontId="19" fillId="0" borderId="86" xfId="0" applyFont="1" applyBorder="1"/>
    <xf numFmtId="2" fontId="19" fillId="0" borderId="86" xfId="0" applyNumberFormat="1" applyFont="1" applyBorder="1" applyAlignment="1">
      <alignment horizontal="center"/>
    </xf>
    <xf numFmtId="164" fontId="19" fillId="0" borderId="86" xfId="248" applyNumberFormat="1" applyFont="1" applyBorder="1" applyAlignment="1">
      <alignment horizontal="right"/>
    </xf>
    <xf numFmtId="166" fontId="19" fillId="0" borderId="10" xfId="0" applyFont="1" applyBorder="1" applyAlignment="1">
      <alignment horizontal="center"/>
    </xf>
    <xf numFmtId="166" fontId="19" fillId="0" borderId="88" xfId="0" applyFont="1" applyBorder="1" applyAlignment="1">
      <alignment horizontal="center"/>
    </xf>
    <xf numFmtId="0" fontId="6" fillId="0" borderId="0" xfId="259" applyFont="1"/>
    <xf numFmtId="9" fontId="0" fillId="0" borderId="89" xfId="253" applyFont="1" applyBorder="1" applyAlignment="1">
      <alignment horizontal="center"/>
    </xf>
    <xf numFmtId="0" fontId="14" fillId="0" borderId="91" xfId="252" applyFont="1" applyBorder="1" applyAlignment="1">
      <alignment horizontal="center"/>
    </xf>
    <xf numFmtId="0" fontId="14" fillId="0" borderId="93" xfId="252" applyFont="1" applyBorder="1" applyAlignment="1">
      <alignment horizontal="center"/>
    </xf>
    <xf numFmtId="0" fontId="10" fillId="0" borderId="94" xfId="252" applyBorder="1" applyAlignment="1">
      <alignment horizontal="center"/>
    </xf>
    <xf numFmtId="2" fontId="10" fillId="0" borderId="95" xfId="252" applyNumberFormat="1" applyBorder="1" applyAlignment="1">
      <alignment horizontal="center"/>
    </xf>
    <xf numFmtId="9" fontId="0" fillId="0" borderId="95" xfId="253" applyFont="1" applyBorder="1" applyAlignment="1">
      <alignment horizontal="center"/>
    </xf>
    <xf numFmtId="0" fontId="10" fillId="0" borderId="90" xfId="252" applyBorder="1" applyAlignment="1">
      <alignment horizontal="center"/>
    </xf>
    <xf numFmtId="2" fontId="10" fillId="0" borderId="89" xfId="252" applyNumberFormat="1" applyBorder="1" applyAlignment="1">
      <alignment horizontal="center"/>
    </xf>
    <xf numFmtId="165" fontId="10" fillId="0" borderId="90" xfId="252" applyNumberFormat="1" applyBorder="1" applyAlignment="1">
      <alignment horizontal="center"/>
    </xf>
    <xf numFmtId="0" fontId="5" fillId="0" borderId="0" xfId="252" applyFont="1"/>
    <xf numFmtId="165" fontId="10" fillId="0" borderId="89" xfId="252" applyNumberFormat="1" applyBorder="1" applyAlignment="1">
      <alignment horizontal="center"/>
    </xf>
    <xf numFmtId="165" fontId="10" fillId="0" borderId="92" xfId="252" applyNumberFormat="1" applyBorder="1" applyAlignment="1">
      <alignment horizontal="center"/>
    </xf>
    <xf numFmtId="0" fontId="14" fillId="0" borderId="97" xfId="252" applyFont="1" applyBorder="1" applyAlignment="1">
      <alignment horizontal="center"/>
    </xf>
    <xf numFmtId="165" fontId="14" fillId="0" borderId="97" xfId="252" applyNumberFormat="1" applyFont="1" applyBorder="1" applyAlignment="1">
      <alignment horizontal="center"/>
    </xf>
    <xf numFmtId="0" fontId="14" fillId="0" borderId="101" xfId="252" applyFont="1" applyBorder="1" applyAlignment="1">
      <alignment horizontal="center"/>
    </xf>
    <xf numFmtId="0" fontId="14" fillId="0" borderId="1" xfId="252" applyFont="1" applyBorder="1" applyAlignment="1">
      <alignment horizontal="center"/>
    </xf>
    <xf numFmtId="9" fontId="7" fillId="0" borderId="89" xfId="253" applyFont="1" applyBorder="1" applyAlignment="1">
      <alignment horizontal="center"/>
    </xf>
    <xf numFmtId="9" fontId="7" fillId="0" borderId="92" xfId="253" applyFont="1" applyBorder="1" applyAlignment="1">
      <alignment horizontal="center"/>
    </xf>
    <xf numFmtId="9" fontId="7" fillId="0" borderId="96" xfId="253" applyFont="1" applyBorder="1" applyAlignment="1">
      <alignment horizontal="center"/>
    </xf>
    <xf numFmtId="0" fontId="14" fillId="0" borderId="13" xfId="252" applyFont="1" applyBorder="1" applyAlignment="1">
      <alignment horizontal="center"/>
    </xf>
    <xf numFmtId="0" fontId="14" fillId="29" borderId="26" xfId="252" applyFont="1" applyFill="1" applyBorder="1" applyAlignment="1">
      <alignment horizontal="center"/>
    </xf>
    <xf numFmtId="0" fontId="14" fillId="29" borderId="28" xfId="252" applyFont="1" applyFill="1" applyBorder="1" applyAlignment="1">
      <alignment horizontal="center"/>
    </xf>
    <xf numFmtId="0" fontId="14" fillId="29" borderId="27" xfId="252" applyFont="1" applyFill="1" applyBorder="1" applyAlignment="1">
      <alignment horizontal="center"/>
    </xf>
    <xf numFmtId="0" fontId="10" fillId="0" borderId="56" xfId="252" applyBorder="1" applyAlignment="1">
      <alignment horizontal="center"/>
    </xf>
    <xf numFmtId="2" fontId="10" fillId="0" borderId="92" xfId="252" applyNumberFormat="1" applyBorder="1" applyAlignment="1">
      <alignment horizontal="center"/>
    </xf>
    <xf numFmtId="9" fontId="0" fillId="0" borderId="92" xfId="253" applyFont="1" applyBorder="1" applyAlignment="1">
      <alignment horizontal="center"/>
    </xf>
    <xf numFmtId="0" fontId="5" fillId="0" borderId="31" xfId="252" applyFont="1" applyBorder="1"/>
    <xf numFmtId="0" fontId="14" fillId="0" borderId="29" xfId="252" applyFont="1" applyBorder="1" applyAlignment="1">
      <alignment horizontal="center"/>
    </xf>
    <xf numFmtId="0" fontId="14" fillId="0" borderId="30" xfId="252" applyFont="1" applyBorder="1" applyAlignment="1">
      <alignment horizontal="center"/>
    </xf>
    <xf numFmtId="0" fontId="14" fillId="0" borderId="103" xfId="252" applyFont="1" applyBorder="1" applyAlignment="1">
      <alignment horizontal="center"/>
    </xf>
    <xf numFmtId="0" fontId="14" fillId="30" borderId="64" xfId="252" applyFont="1" applyFill="1" applyBorder="1" applyAlignment="1">
      <alignment horizontal="center"/>
    </xf>
    <xf numFmtId="0" fontId="14" fillId="30" borderId="63" xfId="252" applyFont="1" applyFill="1" applyBorder="1" applyAlignment="1">
      <alignment horizontal="center"/>
    </xf>
    <xf numFmtId="0" fontId="14" fillId="30" borderId="59" xfId="252" applyFont="1" applyFill="1" applyBorder="1" applyAlignment="1">
      <alignment horizontal="center"/>
    </xf>
    <xf numFmtId="166" fontId="17" fillId="2" borderId="90" xfId="71" applyFont="1" applyBorder="1" applyAlignment="1">
      <alignment horizontal="center" vertical="center" wrapText="1"/>
    </xf>
    <xf numFmtId="166" fontId="17" fillId="2" borderId="90" xfId="71" applyFont="1" applyBorder="1" applyAlignment="1">
      <alignment horizontal="center" vertical="center"/>
    </xf>
    <xf numFmtId="166" fontId="25" fillId="2" borderId="90" xfId="71" applyFont="1" applyBorder="1" applyAlignment="1">
      <alignment horizontal="center" vertical="center" wrapText="1"/>
    </xf>
    <xf numFmtId="166" fontId="26" fillId="2" borderId="90" xfId="71" applyFont="1" applyBorder="1" applyAlignment="1">
      <alignment horizontal="center" vertical="center" wrapText="1"/>
    </xf>
    <xf numFmtId="0" fontId="14" fillId="0" borderId="105" xfId="0" applyNumberFormat="1" applyFont="1" applyBorder="1"/>
    <xf numFmtId="166" fontId="5" fillId="21" borderId="90" xfId="73" applyFont="1" applyFill="1" applyBorder="1"/>
    <xf numFmtId="166" fontId="5" fillId="0" borderId="90" xfId="73" applyFont="1" applyFill="1" applyBorder="1"/>
    <xf numFmtId="165" fontId="7" fillId="20" borderId="90" xfId="73" applyNumberFormat="1" applyFont="1" applyFill="1" applyBorder="1" applyAlignment="1">
      <alignment horizontal="center"/>
    </xf>
    <xf numFmtId="165" fontId="14" fillId="20" borderId="90" xfId="73" applyNumberFormat="1" applyFont="1" applyFill="1" applyBorder="1" applyAlignment="1">
      <alignment horizontal="center"/>
    </xf>
    <xf numFmtId="8" fontId="18" fillId="20" borderId="90" xfId="0" applyNumberFormat="1" applyFont="1" applyFill="1" applyBorder="1" applyAlignment="1">
      <alignment horizontal="center" vertical="center"/>
    </xf>
    <xf numFmtId="164" fontId="7" fillId="20" borderId="90" xfId="0" applyNumberFormat="1" applyFont="1" applyFill="1" applyBorder="1" applyAlignment="1">
      <alignment horizontal="center" vertical="center"/>
    </xf>
    <xf numFmtId="8" fontId="14" fillId="21" borderId="90" xfId="248" applyNumberFormat="1" applyFont="1" applyFill="1" applyBorder="1" applyAlignment="1">
      <alignment horizontal="center"/>
    </xf>
    <xf numFmtId="165" fontId="7" fillId="0" borderId="90" xfId="73" applyNumberFormat="1" applyFont="1" applyFill="1" applyBorder="1" applyAlignment="1">
      <alignment horizontal="center"/>
    </xf>
    <xf numFmtId="165" fontId="14" fillId="0" borderId="90" xfId="73" applyNumberFormat="1" applyFont="1" applyFill="1" applyBorder="1" applyAlignment="1">
      <alignment horizontal="center"/>
    </xf>
    <xf numFmtId="8" fontId="18" fillId="0" borderId="90" xfId="0" applyNumberFormat="1" applyFont="1" applyBorder="1" applyAlignment="1">
      <alignment horizontal="center" vertical="center"/>
    </xf>
    <xf numFmtId="164" fontId="7" fillId="0" borderId="90" xfId="0" applyNumberFormat="1" applyFont="1" applyBorder="1" applyAlignment="1">
      <alignment horizontal="center" vertical="center"/>
    </xf>
    <xf numFmtId="44" fontId="7" fillId="0" borderId="90" xfId="248" applyFont="1" applyFill="1" applyBorder="1" applyAlignment="1">
      <alignment horizontal="center" vertical="center"/>
    </xf>
    <xf numFmtId="8" fontId="14" fillId="0" borderId="90" xfId="248" applyNumberFormat="1" applyFont="1" applyFill="1" applyBorder="1" applyAlignment="1">
      <alignment horizontal="center"/>
    </xf>
    <xf numFmtId="44" fontId="7" fillId="21" borderId="90" xfId="248" applyFont="1" applyFill="1" applyBorder="1" applyAlignment="1">
      <alignment horizontal="center" vertical="center"/>
    </xf>
    <xf numFmtId="165" fontId="14" fillId="0" borderId="104" xfId="0" applyNumberFormat="1" applyFont="1" applyBorder="1" applyAlignment="1">
      <alignment horizontal="center"/>
    </xf>
    <xf numFmtId="8" fontId="14" fillId="0" borderId="104" xfId="0" applyNumberFormat="1" applyFont="1" applyBorder="1" applyAlignment="1">
      <alignment horizontal="center"/>
    </xf>
    <xf numFmtId="44" fontId="14" fillId="0" borderId="104" xfId="0" applyNumberFormat="1" applyFont="1" applyBorder="1" applyAlignment="1">
      <alignment horizontal="center"/>
    </xf>
    <xf numFmtId="8" fontId="14" fillId="0" borderId="106" xfId="0" applyNumberFormat="1" applyFont="1" applyBorder="1" applyAlignment="1">
      <alignment horizontal="center"/>
    </xf>
    <xf numFmtId="0" fontId="17" fillId="11" borderId="54" xfId="252" applyFont="1" applyFill="1" applyBorder="1" applyAlignment="1">
      <alignment horizontal="center" vertical="center"/>
    </xf>
    <xf numFmtId="0" fontId="17" fillId="11" borderId="54" xfId="252" applyFont="1" applyFill="1" applyBorder="1" applyAlignment="1">
      <alignment horizontal="center" vertical="center" wrapText="1"/>
    </xf>
    <xf numFmtId="10" fontId="7" fillId="0" borderId="54" xfId="249" applyNumberFormat="1" applyFont="1" applyFill="1" applyBorder="1" applyAlignment="1">
      <alignment horizontal="center"/>
    </xf>
    <xf numFmtId="10" fontId="7" fillId="10" borderId="54" xfId="249" applyNumberFormat="1" applyFont="1" applyFill="1" applyBorder="1" applyAlignment="1">
      <alignment horizontal="center"/>
    </xf>
    <xf numFmtId="10" fontId="7" fillId="0" borderId="0" xfId="0" applyNumberFormat="1" applyFont="1" applyAlignment="1">
      <alignment horizontal="center"/>
    </xf>
    <xf numFmtId="0" fontId="17" fillId="14" borderId="86" xfId="252" applyFont="1" applyFill="1" applyBorder="1" applyAlignment="1">
      <alignment horizontal="center" vertical="center" wrapText="1"/>
    </xf>
    <xf numFmtId="0" fontId="17" fillId="14" borderId="86" xfId="252" applyFont="1" applyFill="1" applyBorder="1" applyAlignment="1">
      <alignment horizontal="center" vertical="center"/>
    </xf>
    <xf numFmtId="0" fontId="17" fillId="13" borderId="86" xfId="252" applyFont="1" applyFill="1" applyBorder="1" applyAlignment="1">
      <alignment horizontal="center" vertical="center"/>
    </xf>
    <xf numFmtId="165" fontId="4" fillId="0" borderId="21" xfId="72" applyNumberFormat="1" applyFont="1" applyFill="1" applyBorder="1" applyAlignment="1">
      <alignment horizontal="right"/>
    </xf>
    <xf numFmtId="166" fontId="7" fillId="0" borderId="21" xfId="0" applyFont="1" applyBorder="1"/>
    <xf numFmtId="166" fontId="7" fillId="7" borderId="65" xfId="0" applyFont="1" applyFill="1" applyBorder="1" applyAlignment="1">
      <alignment vertical="center"/>
    </xf>
    <xf numFmtId="166" fontId="14" fillId="7" borderId="66" xfId="0" applyFont="1" applyFill="1" applyBorder="1" applyAlignment="1">
      <alignment vertical="center"/>
    </xf>
    <xf numFmtId="166" fontId="17" fillId="5" borderId="10" xfId="0" applyFont="1" applyFill="1" applyBorder="1" applyAlignment="1">
      <alignment horizontal="center" vertical="center"/>
    </xf>
    <xf numFmtId="166" fontId="17" fillId="7" borderId="72" xfId="0" applyFont="1" applyFill="1" applyBorder="1" applyAlignment="1">
      <alignment vertical="center"/>
    </xf>
    <xf numFmtId="166" fontId="12" fillId="0" borderId="0" xfId="0" applyFont="1" applyAlignment="1">
      <alignment vertical="center"/>
    </xf>
    <xf numFmtId="8" fontId="18" fillId="0" borderId="108" xfId="0" applyNumberFormat="1" applyFont="1" applyBorder="1" applyAlignment="1">
      <alignment vertical="center"/>
    </xf>
    <xf numFmtId="164" fontId="7" fillId="0" borderId="108" xfId="0" applyNumberFormat="1" applyFont="1" applyBorder="1" applyAlignment="1">
      <alignment vertical="center"/>
    </xf>
    <xf numFmtId="8" fontId="7" fillId="0" borderId="108" xfId="72" applyNumberFormat="1" applyFont="1" applyFill="1" applyBorder="1" applyAlignment="1">
      <alignment horizontal="right"/>
    </xf>
    <xf numFmtId="8" fontId="7" fillId="0" borderId="109" xfId="72" applyNumberFormat="1" applyFont="1" applyFill="1" applyBorder="1" applyAlignment="1">
      <alignment horizontal="right"/>
    </xf>
    <xf numFmtId="165" fontId="14" fillId="0" borderId="84" xfId="72" applyNumberFormat="1" applyFont="1" applyFill="1" applyBorder="1"/>
    <xf numFmtId="165" fontId="14" fillId="0" borderId="110" xfId="72" applyNumberFormat="1" applyFont="1" applyFill="1" applyBorder="1"/>
    <xf numFmtId="165" fontId="14" fillId="0" borderId="111" xfId="72" applyNumberFormat="1" applyFont="1" applyFill="1" applyBorder="1"/>
    <xf numFmtId="8" fontId="18" fillId="0" borderId="97" xfId="0" applyNumberFormat="1" applyFont="1" applyBorder="1" applyAlignment="1">
      <alignment vertical="center"/>
    </xf>
    <xf numFmtId="8" fontId="7" fillId="0" borderId="97" xfId="0" applyNumberFormat="1" applyFont="1" applyBorder="1" applyAlignment="1">
      <alignment vertical="center"/>
    </xf>
    <xf numFmtId="165" fontId="7" fillId="0" borderId="79" xfId="73" applyNumberFormat="1" applyFont="1" applyFill="1" applyBorder="1"/>
    <xf numFmtId="165" fontId="7" fillId="0" borderId="97" xfId="73" applyNumberFormat="1" applyFont="1" applyFill="1" applyBorder="1"/>
    <xf numFmtId="165" fontId="7" fillId="0" borderId="56" xfId="73" applyNumberFormat="1" applyFont="1" applyFill="1" applyBorder="1"/>
    <xf numFmtId="165" fontId="7" fillId="0" borderId="79" xfId="72" applyNumberFormat="1" applyFont="1" applyFill="1" applyBorder="1"/>
    <xf numFmtId="165" fontId="7" fillId="0" borderId="56" xfId="72" applyNumberFormat="1" applyFont="1" applyFill="1" applyBorder="1"/>
    <xf numFmtId="165" fontId="7" fillId="0" borderId="97" xfId="72" applyNumberFormat="1" applyFont="1" applyFill="1" applyBorder="1"/>
    <xf numFmtId="164" fontId="29" fillId="0" borderId="34" xfId="0" applyNumberFormat="1" applyFont="1" applyBorder="1" applyAlignment="1">
      <alignment vertical="center"/>
    </xf>
    <xf numFmtId="164" fontId="31" fillId="0" borderId="16" xfId="0" applyNumberFormat="1" applyFont="1" applyBorder="1" applyAlignment="1">
      <alignment vertical="center"/>
    </xf>
    <xf numFmtId="164" fontId="29" fillId="0" borderId="81" xfId="0" applyNumberFormat="1" applyFont="1" applyBorder="1" applyAlignment="1">
      <alignment vertical="center"/>
    </xf>
    <xf numFmtId="166" fontId="14" fillId="0" borderId="112" xfId="0" applyFont="1" applyBorder="1" applyAlignment="1">
      <alignment horizontal="center"/>
    </xf>
    <xf numFmtId="1" fontId="7" fillId="0" borderId="113" xfId="0" applyNumberFormat="1" applyFont="1" applyBorder="1" applyAlignment="1">
      <alignment horizontal="center"/>
    </xf>
    <xf numFmtId="9" fontId="7" fillId="0" borderId="113" xfId="249" applyFont="1" applyFill="1" applyBorder="1" applyAlignment="1">
      <alignment horizontal="center"/>
    </xf>
    <xf numFmtId="167" fontId="7" fillId="0" borderId="113" xfId="0" applyNumberFormat="1" applyFont="1" applyBorder="1" applyAlignment="1">
      <alignment horizontal="center"/>
    </xf>
    <xf numFmtId="167" fontId="14" fillId="0" borderId="113" xfId="0" applyNumberFormat="1" applyFont="1" applyBorder="1" applyAlignment="1">
      <alignment horizontal="right"/>
    </xf>
    <xf numFmtId="167" fontId="0" fillId="0" borderId="113" xfId="0" applyNumberFormat="1" applyBorder="1"/>
    <xf numFmtId="166" fontId="14" fillId="10" borderId="114" xfId="0" applyFont="1" applyFill="1" applyBorder="1" applyAlignment="1">
      <alignment horizontal="center"/>
    </xf>
    <xf numFmtId="1" fontId="0" fillId="10" borderId="114" xfId="0" applyNumberFormat="1" applyFill="1" applyBorder="1" applyAlignment="1">
      <alignment horizontal="center"/>
    </xf>
    <xf numFmtId="166" fontId="0" fillId="10" borderId="114" xfId="0" applyFill="1" applyBorder="1" applyAlignment="1">
      <alignment horizontal="center"/>
    </xf>
    <xf numFmtId="167" fontId="0" fillId="10" borderId="114" xfId="0" applyNumberFormat="1" applyFill="1" applyBorder="1" applyAlignment="1">
      <alignment horizontal="right"/>
    </xf>
    <xf numFmtId="167" fontId="0" fillId="10" borderId="114" xfId="0" applyNumberFormat="1" applyFill="1" applyBorder="1"/>
    <xf numFmtId="0" fontId="0" fillId="10" borderId="114" xfId="0" applyNumberFormat="1" applyFill="1" applyBorder="1"/>
    <xf numFmtId="167" fontId="14" fillId="31" borderId="20" xfId="0" applyNumberFormat="1" applyFont="1" applyFill="1" applyBorder="1" applyAlignment="1">
      <alignment horizontal="right"/>
    </xf>
    <xf numFmtId="164" fontId="0" fillId="31" borderId="0" xfId="0" applyNumberFormat="1" applyFill="1" applyAlignment="1">
      <alignment horizontal="center"/>
    </xf>
    <xf numFmtId="167" fontId="0" fillId="0" borderId="55" xfId="0" applyNumberFormat="1" applyBorder="1" applyAlignment="1">
      <alignment horizontal="center"/>
    </xf>
    <xf numFmtId="166" fontId="0" fillId="32" borderId="86" xfId="0" applyFill="1" applyBorder="1" applyAlignment="1">
      <alignment vertical="top"/>
    </xf>
    <xf numFmtId="166" fontId="0" fillId="32" borderId="86" xfId="0" applyFill="1" applyBorder="1" applyAlignment="1">
      <alignment horizontal="center" vertical="top"/>
    </xf>
    <xf numFmtId="166" fontId="0" fillId="32" borderId="86" xfId="0" applyFill="1" applyBorder="1" applyAlignment="1">
      <alignment horizontal="center" vertical="top" wrapText="1"/>
    </xf>
    <xf numFmtId="0" fontId="23" fillId="32" borderId="86" xfId="0" applyNumberFormat="1" applyFont="1" applyFill="1" applyBorder="1" applyAlignment="1">
      <alignment horizontal="center"/>
    </xf>
    <xf numFmtId="166" fontId="24" fillId="32" borderId="86" xfId="0" applyFont="1" applyFill="1" applyBorder="1"/>
    <xf numFmtId="165" fontId="24" fillId="32" borderId="86" xfId="0" applyNumberFormat="1" applyFont="1" applyFill="1" applyBorder="1" applyAlignment="1">
      <alignment horizontal="center"/>
    </xf>
    <xf numFmtId="164" fontId="24" fillId="32" borderId="86" xfId="0" applyNumberFormat="1" applyFont="1" applyFill="1" applyBorder="1"/>
    <xf numFmtId="166" fontId="0" fillId="32" borderId="86" xfId="0" applyFill="1" applyBorder="1"/>
    <xf numFmtId="165" fontId="20" fillId="32" borderId="86" xfId="0" applyNumberFormat="1" applyFont="1" applyFill="1" applyBorder="1" applyAlignment="1">
      <alignment horizontal="center"/>
    </xf>
    <xf numFmtId="166" fontId="19" fillId="32" borderId="86" xfId="0" applyFont="1" applyFill="1" applyBorder="1" applyAlignment="1">
      <alignment horizontal="center"/>
    </xf>
    <xf numFmtId="166" fontId="19" fillId="32" borderId="86" xfId="0" applyFont="1" applyFill="1" applyBorder="1"/>
    <xf numFmtId="2" fontId="19" fillId="32" borderId="86" xfId="0" applyNumberFormat="1" applyFont="1" applyFill="1" applyBorder="1" applyAlignment="1">
      <alignment horizontal="center"/>
    </xf>
    <xf numFmtId="164" fontId="19" fillId="32" borderId="86" xfId="248" applyNumberFormat="1" applyFont="1" applyFill="1" applyBorder="1" applyAlignment="1">
      <alignment horizontal="right"/>
    </xf>
    <xf numFmtId="164" fontId="3" fillId="0" borderId="15" xfId="0" applyNumberFormat="1" applyFont="1" applyBorder="1" applyAlignment="1">
      <alignment vertical="center"/>
    </xf>
    <xf numFmtId="0" fontId="2" fillId="0" borderId="0" xfId="259" applyFont="1"/>
    <xf numFmtId="166" fontId="14" fillId="0" borderId="0" xfId="0" applyFont="1" applyAlignment="1">
      <alignment horizontal="center"/>
    </xf>
    <xf numFmtId="166" fontId="0" fillId="0" borderId="0" xfId="0" applyAlignment="1">
      <alignment vertical="top" wrapText="1"/>
    </xf>
    <xf numFmtId="166" fontId="19" fillId="0" borderId="58" xfId="0" applyFont="1" applyBorder="1" applyAlignment="1">
      <alignment horizontal="center" vertical="center"/>
    </xf>
    <xf numFmtId="166" fontId="17" fillId="2" borderId="65" xfId="71" applyFont="1" applyBorder="1" applyAlignment="1">
      <alignment vertical="center" textRotation="90"/>
    </xf>
    <xf numFmtId="166" fontId="17" fillId="2" borderId="17" xfId="71" applyFont="1" applyBorder="1" applyAlignment="1">
      <alignment vertical="center" textRotation="90"/>
    </xf>
    <xf numFmtId="166" fontId="17" fillId="2" borderId="23" xfId="71" applyFont="1" applyBorder="1" applyAlignment="1">
      <alignment vertical="center" textRotation="90"/>
    </xf>
    <xf numFmtId="166" fontId="17" fillId="7" borderId="70" xfId="0" applyFont="1" applyFill="1" applyBorder="1" applyAlignment="1">
      <alignment horizontal="center" vertical="center"/>
    </xf>
    <xf numFmtId="166" fontId="17" fillId="7" borderId="71" xfId="0" applyFont="1" applyFill="1" applyBorder="1" applyAlignment="1">
      <alignment horizontal="center" vertical="center"/>
    </xf>
    <xf numFmtId="166" fontId="17" fillId="7" borderId="107" xfId="0" applyFont="1" applyFill="1" applyBorder="1" applyAlignment="1">
      <alignment horizontal="center" vertical="center"/>
    </xf>
    <xf numFmtId="166" fontId="7" fillId="0" borderId="9" xfId="0" applyFont="1" applyBorder="1" applyAlignment="1">
      <alignment horizontal="center" vertical="center" wrapText="1"/>
    </xf>
    <xf numFmtId="166" fontId="17" fillId="7" borderId="67" xfId="0" applyFont="1" applyFill="1" applyBorder="1" applyAlignment="1">
      <alignment horizontal="center" vertical="center"/>
    </xf>
    <xf numFmtId="166" fontId="17" fillId="7" borderId="68" xfId="0" applyFont="1" applyFill="1" applyBorder="1" applyAlignment="1">
      <alignment horizontal="center" vertical="center"/>
    </xf>
    <xf numFmtId="166" fontId="17" fillId="7" borderId="69" xfId="0" applyFont="1" applyFill="1" applyBorder="1" applyAlignment="1">
      <alignment horizontal="center" vertical="center"/>
    </xf>
    <xf numFmtId="0" fontId="32" fillId="28" borderId="98" xfId="252" applyFont="1" applyFill="1" applyBorder="1" applyAlignment="1">
      <alignment horizontal="center" vertical="center" textRotation="90"/>
    </xf>
    <xf numFmtId="0" fontId="32" fillId="28" borderId="3" xfId="252" applyFont="1" applyFill="1" applyBorder="1" applyAlignment="1">
      <alignment horizontal="center" vertical="center" textRotation="90"/>
    </xf>
    <xf numFmtId="0" fontId="32" fillId="28" borderId="99" xfId="252" applyFont="1" applyFill="1" applyBorder="1" applyAlignment="1">
      <alignment horizontal="center" vertical="center" textRotation="90"/>
    </xf>
    <xf numFmtId="0" fontId="10" fillId="0" borderId="0" xfId="252" applyAlignment="1">
      <alignment horizontal="left" vertical="top" wrapText="1"/>
    </xf>
    <xf numFmtId="0" fontId="17" fillId="29" borderId="100" xfId="252" applyFont="1" applyFill="1" applyBorder="1" applyAlignment="1">
      <alignment horizontal="center" vertical="center" textRotation="90"/>
    </xf>
    <xf numFmtId="0" fontId="17" fillId="29" borderId="53" xfId="252" applyFont="1" applyFill="1" applyBorder="1" applyAlignment="1">
      <alignment horizontal="center" vertical="center" textRotation="90"/>
    </xf>
    <xf numFmtId="0" fontId="17" fillId="29" borderId="59" xfId="252" applyFont="1" applyFill="1" applyBorder="1" applyAlignment="1">
      <alignment horizontal="center" vertical="center" textRotation="90"/>
    </xf>
    <xf numFmtId="0" fontId="10" fillId="0" borderId="0" xfId="252" applyAlignment="1">
      <alignment horizontal="left" vertical="top"/>
    </xf>
    <xf numFmtId="0" fontId="17" fillId="30" borderId="102" xfId="252" applyFont="1" applyFill="1" applyBorder="1" applyAlignment="1">
      <alignment horizontal="center" vertical="center" textRotation="90"/>
    </xf>
    <xf numFmtId="0" fontId="17" fillId="30" borderId="52" xfId="252" applyFont="1" applyFill="1" applyBorder="1" applyAlignment="1">
      <alignment horizontal="center" vertical="center" textRotation="90"/>
    </xf>
    <xf numFmtId="0" fontId="17" fillId="30" borderId="63" xfId="252" applyFont="1" applyFill="1" applyBorder="1" applyAlignment="1">
      <alignment horizontal="center" vertical="center" textRotation="90"/>
    </xf>
    <xf numFmtId="166" fontId="28" fillId="7" borderId="90" xfId="0" applyFont="1" applyFill="1" applyBorder="1" applyAlignment="1">
      <alignment horizontal="center" vertical="center"/>
    </xf>
    <xf numFmtId="166" fontId="28" fillId="12" borderId="54" xfId="0" applyFont="1" applyFill="1" applyBorder="1" applyAlignment="1">
      <alignment horizontal="center" vertical="center"/>
    </xf>
    <xf numFmtId="166" fontId="28" fillId="15" borderId="86" xfId="0" applyFont="1" applyFill="1" applyBorder="1" applyAlignment="1">
      <alignment horizontal="center" vertical="center"/>
    </xf>
    <xf numFmtId="166" fontId="17" fillId="16" borderId="86" xfId="0" applyFont="1" applyFill="1" applyBorder="1" applyAlignment="1">
      <alignment horizontal="center" vertical="center"/>
    </xf>
    <xf numFmtId="166" fontId="0" fillId="0" borderId="0" xfId="0" applyAlignment="1">
      <alignment horizontal="left" vertical="top" wrapText="1"/>
    </xf>
    <xf numFmtId="0" fontId="14" fillId="0" borderId="0" xfId="259" applyFont="1" applyAlignment="1">
      <alignment horizontal="center"/>
    </xf>
    <xf numFmtId="0" fontId="7" fillId="0" borderId="0" xfId="259" applyFont="1" applyAlignment="1">
      <alignment horizontal="left" vertical="top" wrapText="1"/>
    </xf>
    <xf numFmtId="0" fontId="8" fillId="0" borderId="0" xfId="259" applyAlignment="1">
      <alignment horizontal="left" vertical="top" wrapText="1"/>
    </xf>
    <xf numFmtId="165" fontId="7" fillId="0" borderId="108" xfId="72" applyNumberFormat="1" applyFont="1" applyFill="1" applyBorder="1"/>
    <xf numFmtId="165" fontId="7" fillId="0" borderId="108" xfId="73" applyNumberFormat="1" applyFont="1" applyFill="1" applyBorder="1"/>
    <xf numFmtId="165" fontId="1" fillId="0" borderId="90" xfId="252" applyNumberFormat="1" applyFont="1" applyBorder="1" applyAlignment="1">
      <alignment horizontal="center"/>
    </xf>
  </cellXfs>
  <cellStyles count="261">
    <cellStyle name="20% - Accent5" xfId="72" builtinId="46"/>
    <cellStyle name="20% - Accent5 2" xfId="250" xr:uid="{00000000-0005-0000-0000-000001000000}"/>
    <cellStyle name="40% - Accent5" xfId="73" builtinId="47"/>
    <cellStyle name="40% - Accent5 2" xfId="251" xr:uid="{00000000-0005-0000-0000-000003000000}"/>
    <cellStyle name="Accent5" xfId="71" builtinId="45"/>
    <cellStyle name="Currency" xfId="248" builtinId="4"/>
    <cellStyle name="Currency 2" xfId="255" xr:uid="{FC0A4808-88A0-48A3-BA67-2B8E6078AFA8}"/>
    <cellStyle name="Currency 3" xfId="258" xr:uid="{F98309F1-A0CF-412B-A6BB-B932B0971982}"/>
    <cellStyle name="Currency 4" xfId="260" xr:uid="{E606A0DF-AFE8-4DFD-9877-8DA259AD1D77}"/>
    <cellStyle name="Followed Hyperlink" xfId="93" builtinId="9" hidden="1"/>
    <cellStyle name="Followed Hyperlink" xfId="15" builtinId="9" hidden="1"/>
    <cellStyle name="Followed Hyperlink" xfId="214" builtinId="9" hidden="1"/>
    <cellStyle name="Followed Hyperlink" xfId="245" builtinId="9" hidden="1"/>
    <cellStyle name="Followed Hyperlink" xfId="62" builtinId="9" hidden="1"/>
    <cellStyle name="Followed Hyperlink" xfId="77" builtinId="9" hidden="1"/>
    <cellStyle name="Followed Hyperlink" xfId="8" builtinId="9" hidden="1"/>
    <cellStyle name="Followed Hyperlink" xfId="160" builtinId="9" hidden="1"/>
    <cellStyle name="Followed Hyperlink" xfId="147" builtinId="9" hidden="1"/>
    <cellStyle name="Followed Hyperlink" xfId="169" builtinId="9" hidden="1"/>
    <cellStyle name="Followed Hyperlink" xfId="150" builtinId="9" hidden="1"/>
    <cellStyle name="Followed Hyperlink" xfId="235" builtinId="9" hidden="1"/>
    <cellStyle name="Followed Hyperlink" xfId="82" builtinId="9" hidden="1"/>
    <cellStyle name="Followed Hyperlink" xfId="156" builtinId="9" hidden="1"/>
    <cellStyle name="Followed Hyperlink" xfId="33" builtinId="9" hidden="1"/>
    <cellStyle name="Followed Hyperlink" xfId="170" builtinId="9" hidden="1"/>
    <cellStyle name="Followed Hyperlink" xfId="168" builtinId="9" hidden="1"/>
    <cellStyle name="Followed Hyperlink" xfId="66" builtinId="9" hidden="1"/>
    <cellStyle name="Followed Hyperlink" xfId="79" builtinId="9" hidden="1"/>
    <cellStyle name="Followed Hyperlink" xfId="63" builtinId="9" hidden="1"/>
    <cellStyle name="Followed Hyperlink" xfId="224" builtinId="9" hidden="1"/>
    <cellStyle name="Followed Hyperlink" xfId="121" builtinId="9" hidden="1"/>
    <cellStyle name="Followed Hyperlink" xfId="22" builtinId="9" hidden="1"/>
    <cellStyle name="Followed Hyperlink" xfId="186" builtinId="9" hidden="1"/>
    <cellStyle name="Followed Hyperlink" xfId="243" builtinId="9" hidden="1"/>
    <cellStyle name="Followed Hyperlink" xfId="241" builtinId="9" hidden="1"/>
    <cellStyle name="Followed Hyperlink" xfId="195" builtinId="9" hidden="1"/>
    <cellStyle name="Followed Hyperlink" xfId="11" builtinId="9" hidden="1"/>
    <cellStyle name="Followed Hyperlink" xfId="148" builtinId="9" hidden="1"/>
    <cellStyle name="Followed Hyperlink" xfId="14" builtinId="9" hidden="1"/>
    <cellStyle name="Followed Hyperlink" xfId="2" builtinId="9" hidden="1"/>
    <cellStyle name="Followed Hyperlink" xfId="193" builtinId="9" hidden="1"/>
    <cellStyle name="Followed Hyperlink" xfId="176" builtinId="9" hidden="1"/>
    <cellStyle name="Followed Hyperlink" xfId="20" builtinId="9" hidden="1"/>
    <cellStyle name="Followed Hyperlink" xfId="28" builtinId="9" hidden="1"/>
    <cellStyle name="Followed Hyperlink" xfId="47" builtinId="9" hidden="1"/>
    <cellStyle name="Followed Hyperlink" xfId="233" builtinId="9" hidden="1"/>
    <cellStyle name="Followed Hyperlink" xfId="242" builtinId="9" hidden="1"/>
    <cellStyle name="Followed Hyperlink" xfId="155" builtinId="9" hidden="1"/>
    <cellStyle name="Followed Hyperlink" xfId="65" builtinId="9" hidden="1"/>
    <cellStyle name="Followed Hyperlink" xfId="209" builtinId="9" hidden="1"/>
    <cellStyle name="Followed Hyperlink" xfId="89" builtinId="9" hidden="1"/>
    <cellStyle name="Followed Hyperlink" xfId="115" builtinId="9" hidden="1"/>
    <cellStyle name="Followed Hyperlink" xfId="182" builtinId="9" hidden="1"/>
    <cellStyle name="Followed Hyperlink" xfId="210" builtinId="9" hidden="1"/>
    <cellStyle name="Followed Hyperlink" xfId="220" builtinId="9" hidden="1"/>
    <cellStyle name="Followed Hyperlink" xfId="86" builtinId="9" hidden="1"/>
    <cellStyle name="Followed Hyperlink" xfId="95" builtinId="9" hidden="1"/>
    <cellStyle name="Followed Hyperlink" xfId="58" builtinId="9" hidden="1"/>
    <cellStyle name="Followed Hyperlink" xfId="185" builtinId="9" hidden="1"/>
    <cellStyle name="Followed Hyperlink" xfId="39" builtinId="9" hidden="1"/>
    <cellStyle name="Followed Hyperlink" xfId="23" builtinId="9" hidden="1"/>
    <cellStyle name="Followed Hyperlink" xfId="179" builtinId="9" hidden="1"/>
    <cellStyle name="Followed Hyperlink" xfId="18" builtinId="9" hidden="1"/>
    <cellStyle name="Followed Hyperlink" xfId="32" builtinId="9" hidden="1"/>
    <cellStyle name="Followed Hyperlink" xfId="230" builtinId="9" hidden="1"/>
    <cellStyle name="Followed Hyperlink" xfId="162" builtinId="9" hidden="1"/>
    <cellStyle name="Followed Hyperlink" xfId="188" builtinId="9" hidden="1"/>
    <cellStyle name="Followed Hyperlink" xfId="97" builtinId="9" hidden="1"/>
    <cellStyle name="Followed Hyperlink" xfId="191" builtinId="9" hidden="1"/>
    <cellStyle name="Followed Hyperlink" xfId="192" builtinId="9" hidden="1"/>
    <cellStyle name="Followed Hyperlink" xfId="158" builtinId="9" hidden="1"/>
    <cellStyle name="Followed Hyperlink" xfId="56" builtinId="9" hidden="1"/>
    <cellStyle name="Followed Hyperlink" xfId="240" builtinId="9" hidden="1"/>
    <cellStyle name="Followed Hyperlink" xfId="25" builtinId="9" hidden="1"/>
    <cellStyle name="Followed Hyperlink" xfId="57" builtinId="9" hidden="1"/>
    <cellStyle name="Followed Hyperlink" xfId="131" builtinId="9" hidden="1"/>
    <cellStyle name="Followed Hyperlink" xfId="232" builtinId="9" hidden="1"/>
    <cellStyle name="Followed Hyperlink" xfId="108" builtinId="9" hidden="1"/>
    <cellStyle name="Followed Hyperlink" xfId="34" builtinId="9" hidden="1"/>
    <cellStyle name="Followed Hyperlink" xfId="26" builtinId="9" hidden="1"/>
    <cellStyle name="Followed Hyperlink" xfId="197" builtinId="9" hidden="1"/>
    <cellStyle name="Followed Hyperlink" xfId="31" builtinId="9" hidden="1"/>
    <cellStyle name="Followed Hyperlink" xfId="152" builtinId="9" hidden="1"/>
    <cellStyle name="Followed Hyperlink" xfId="231" builtinId="9" hidden="1"/>
    <cellStyle name="Followed Hyperlink" xfId="87" builtinId="9" hidden="1"/>
    <cellStyle name="Followed Hyperlink" xfId="116" builtinId="9" hidden="1"/>
    <cellStyle name="Followed Hyperlink" xfId="75" builtinId="9" hidden="1"/>
    <cellStyle name="Followed Hyperlink" xfId="104" builtinId="9" hidden="1"/>
    <cellStyle name="Followed Hyperlink" xfId="207" builtinId="9" hidden="1"/>
    <cellStyle name="Followed Hyperlink" xfId="194" builtinId="9" hidden="1"/>
    <cellStyle name="Followed Hyperlink" xfId="83" builtinId="9" hidden="1"/>
    <cellStyle name="Followed Hyperlink" xfId="76" builtinId="9" hidden="1"/>
    <cellStyle name="Followed Hyperlink" xfId="236" builtinId="9" hidden="1"/>
    <cellStyle name="Followed Hyperlink" xfId="61" builtinId="9" hidden="1"/>
    <cellStyle name="Followed Hyperlink" xfId="189" builtinId="9" hidden="1"/>
    <cellStyle name="Followed Hyperlink" xfId="211" builtinId="9" hidden="1"/>
    <cellStyle name="Followed Hyperlink" xfId="172" builtinId="9" hidden="1"/>
    <cellStyle name="Followed Hyperlink" xfId="107" builtinId="9" hidden="1"/>
    <cellStyle name="Followed Hyperlink" xfId="208" builtinId="9" hidden="1"/>
    <cellStyle name="Followed Hyperlink" xfId="84" builtinId="9" hidden="1"/>
    <cellStyle name="Followed Hyperlink" xfId="203" builtinId="9" hidden="1"/>
    <cellStyle name="Followed Hyperlink" xfId="238" builtinId="9" hidden="1"/>
    <cellStyle name="Followed Hyperlink" xfId="3" builtinId="9" hidden="1"/>
    <cellStyle name="Followed Hyperlink" xfId="117" builtinId="9" hidden="1"/>
    <cellStyle name="Followed Hyperlink" xfId="145" builtinId="9" hidden="1"/>
    <cellStyle name="Followed Hyperlink" xfId="112" builtinId="9" hidden="1"/>
    <cellStyle name="Followed Hyperlink" xfId="30" builtinId="9" hidden="1"/>
    <cellStyle name="Followed Hyperlink" xfId="190" builtinId="9" hidden="1"/>
    <cellStyle name="Followed Hyperlink" xfId="49" builtinId="9" hidden="1"/>
    <cellStyle name="Followed Hyperlink" xfId="123" builtinId="9" hidden="1"/>
    <cellStyle name="Followed Hyperlink" xfId="166" builtinId="9" hidden="1"/>
    <cellStyle name="Followed Hyperlink" xfId="120" builtinId="9" hidden="1"/>
    <cellStyle name="Followed Hyperlink" xfId="125" builtinId="9" hidden="1"/>
    <cellStyle name="Followed Hyperlink" xfId="213" builtinId="9" hidden="1"/>
    <cellStyle name="Followed Hyperlink" xfId="78" builtinId="9" hidden="1"/>
    <cellStyle name="Followed Hyperlink" xfId="128" builtinId="9" hidden="1"/>
    <cellStyle name="Followed Hyperlink" xfId="46" builtinId="9" hidden="1"/>
    <cellStyle name="Followed Hyperlink" xfId="124" builtinId="9" hidden="1"/>
    <cellStyle name="Followed Hyperlink" xfId="142" builtinId="9" hidden="1"/>
    <cellStyle name="Followed Hyperlink" xfId="90" builtinId="9" hidden="1"/>
    <cellStyle name="Followed Hyperlink" xfId="94" builtinId="9" hidden="1"/>
    <cellStyle name="Followed Hyperlink" xfId="10" builtinId="9" hidden="1"/>
    <cellStyle name="Followed Hyperlink" xfId="234" builtinId="9" hidden="1"/>
    <cellStyle name="Followed Hyperlink" xfId="146" builtinId="9" hidden="1"/>
    <cellStyle name="Followed Hyperlink" xfId="54" builtinId="9" hidden="1"/>
    <cellStyle name="Followed Hyperlink" xfId="134" builtinId="9" hidden="1"/>
    <cellStyle name="Followed Hyperlink" xfId="228" builtinId="9" hidden="1"/>
    <cellStyle name="Followed Hyperlink" xfId="184" builtinId="9" hidden="1"/>
    <cellStyle name="Followed Hyperlink" xfId="237" builtinId="9" hidden="1"/>
    <cellStyle name="Followed Hyperlink" xfId="40" builtinId="9" hidden="1"/>
    <cellStyle name="Followed Hyperlink" xfId="64" builtinId="9" hidden="1"/>
    <cellStyle name="Followed Hyperlink" xfId="29" builtinId="9" hidden="1"/>
    <cellStyle name="Followed Hyperlink" xfId="70" builtinId="9" hidden="1"/>
    <cellStyle name="Followed Hyperlink" xfId="165" builtinId="9" hidden="1"/>
    <cellStyle name="Followed Hyperlink" xfId="9" builtinId="9" hidden="1"/>
    <cellStyle name="Followed Hyperlink" xfId="171" builtinId="9" hidden="1"/>
    <cellStyle name="Followed Hyperlink" xfId="80" builtinId="9" hidden="1"/>
    <cellStyle name="Followed Hyperlink" xfId="36" builtinId="9" hidden="1"/>
    <cellStyle name="Followed Hyperlink" xfId="229" builtinId="9" hidden="1"/>
    <cellStyle name="Followed Hyperlink" xfId="149" builtinId="9" hidden="1"/>
    <cellStyle name="Followed Hyperlink" xfId="221" builtinId="9" hidden="1"/>
    <cellStyle name="Followed Hyperlink" xfId="118" builtinId="9" hidden="1"/>
    <cellStyle name="Followed Hyperlink" xfId="139" builtinId="9" hidden="1"/>
    <cellStyle name="Followed Hyperlink" xfId="157" builtinId="9" hidden="1"/>
    <cellStyle name="Followed Hyperlink" xfId="143" builtinId="9" hidden="1"/>
    <cellStyle name="Followed Hyperlink" xfId="167" builtinId="9" hidden="1"/>
    <cellStyle name="Followed Hyperlink" xfId="5" builtinId="9" hidden="1"/>
    <cellStyle name="Followed Hyperlink" xfId="38" builtinId="9" hidden="1"/>
    <cellStyle name="Followed Hyperlink" xfId="196" builtinId="9" hidden="1"/>
    <cellStyle name="Followed Hyperlink" xfId="137" builtinId="9" hidden="1"/>
    <cellStyle name="Followed Hyperlink" xfId="21" builtinId="9" hidden="1"/>
    <cellStyle name="Followed Hyperlink" xfId="174" builtinId="9" hidden="1"/>
    <cellStyle name="Followed Hyperlink" xfId="153" builtinId="9" hidden="1"/>
    <cellStyle name="Followed Hyperlink" xfId="67" builtinId="9" hidden="1"/>
    <cellStyle name="Followed Hyperlink" xfId="103" builtinId="9" hidden="1"/>
    <cellStyle name="Followed Hyperlink" xfId="13" builtinId="9" hidden="1"/>
    <cellStyle name="Followed Hyperlink" xfId="244" builtinId="9" hidden="1"/>
    <cellStyle name="Followed Hyperlink" xfId="55" builtinId="9" hidden="1"/>
    <cellStyle name="Followed Hyperlink" xfId="177" builtinId="9" hidden="1"/>
    <cellStyle name="Followed Hyperlink" xfId="44" builtinId="9" hidden="1"/>
    <cellStyle name="Followed Hyperlink" xfId="173" builtinId="9" hidden="1"/>
    <cellStyle name="Followed Hyperlink" xfId="199" builtinId="9" hidden="1"/>
    <cellStyle name="Followed Hyperlink" xfId="246" builtinId="9" hidden="1"/>
    <cellStyle name="Followed Hyperlink" xfId="226" builtinId="9" hidden="1"/>
    <cellStyle name="Followed Hyperlink" xfId="48" builtinId="9" hidden="1"/>
    <cellStyle name="Followed Hyperlink" xfId="216" builtinId="9" hidden="1"/>
    <cellStyle name="Followed Hyperlink" xfId="144" builtinId="9" hidden="1"/>
    <cellStyle name="Followed Hyperlink" xfId="37" builtinId="9" hidden="1"/>
    <cellStyle name="Followed Hyperlink" xfId="218" builtinId="9" hidden="1"/>
    <cellStyle name="Followed Hyperlink" xfId="127" builtinId="9" hidden="1"/>
    <cellStyle name="Followed Hyperlink" xfId="133" builtinId="9" hidden="1"/>
    <cellStyle name="Followed Hyperlink" xfId="163" builtinId="9" hidden="1"/>
    <cellStyle name="Followed Hyperlink" xfId="88" builtinId="9" hidden="1"/>
    <cellStyle name="Followed Hyperlink" xfId="41" builtinId="9" hidden="1"/>
    <cellStyle name="Followed Hyperlink" xfId="68" builtinId="9" hidden="1"/>
    <cellStyle name="Followed Hyperlink" xfId="24" builtinId="9" hidden="1"/>
    <cellStyle name="Followed Hyperlink" xfId="122" builtinId="9" hidden="1"/>
    <cellStyle name="Followed Hyperlink" xfId="99" builtinId="9" hidden="1"/>
    <cellStyle name="Followed Hyperlink" xfId="161" builtinId="9" hidden="1"/>
    <cellStyle name="Followed Hyperlink" xfId="187" builtinId="9" hidden="1"/>
    <cellStyle name="Followed Hyperlink" xfId="53" builtinId="9" hidden="1"/>
    <cellStyle name="Followed Hyperlink" xfId="100" builtinId="9" hidden="1"/>
    <cellStyle name="Followed Hyperlink" xfId="175" builtinId="9" hidden="1"/>
    <cellStyle name="Followed Hyperlink" xfId="109" builtinId="9" hidden="1"/>
    <cellStyle name="Followed Hyperlink" xfId="181" builtinId="9" hidden="1"/>
    <cellStyle name="Followed Hyperlink" xfId="219" builtinId="9" hidden="1"/>
    <cellStyle name="Followed Hyperlink" xfId="201" builtinId="9" hidden="1"/>
    <cellStyle name="Followed Hyperlink" xfId="50" builtinId="9" hidden="1"/>
    <cellStyle name="Followed Hyperlink" xfId="19" builtinId="9" hidden="1"/>
    <cellStyle name="Followed Hyperlink" xfId="98" builtinId="9" hidden="1"/>
    <cellStyle name="Followed Hyperlink" xfId="136" builtinId="9" hidden="1"/>
    <cellStyle name="Followed Hyperlink" xfId="212" builtinId="9" hidden="1"/>
    <cellStyle name="Followed Hyperlink" xfId="17" builtinId="9" hidden="1"/>
    <cellStyle name="Followed Hyperlink" xfId="200" builtinId="9" hidden="1"/>
    <cellStyle name="Followed Hyperlink" xfId="43" builtinId="9" hidden="1"/>
    <cellStyle name="Followed Hyperlink" xfId="140" builtinId="9" hidden="1"/>
    <cellStyle name="Followed Hyperlink" xfId="102" builtinId="9" hidden="1"/>
    <cellStyle name="Followed Hyperlink" xfId="205" builtinId="9" hidden="1"/>
    <cellStyle name="Followed Hyperlink" xfId="1" builtinId="9" hidden="1"/>
    <cellStyle name="Followed Hyperlink" xfId="202" builtinId="9" hidden="1"/>
    <cellStyle name="Followed Hyperlink" xfId="135" builtinId="9" hidden="1"/>
    <cellStyle name="Followed Hyperlink" xfId="223" builtinId="9" hidden="1"/>
    <cellStyle name="Followed Hyperlink" xfId="183" builtinId="9" hidden="1"/>
    <cellStyle name="Followed Hyperlink" xfId="106" builtinId="9" hidden="1"/>
    <cellStyle name="Followed Hyperlink" xfId="159" builtinId="9" hidden="1"/>
    <cellStyle name="Followed Hyperlink" xfId="138" builtinId="9" hidden="1"/>
    <cellStyle name="Followed Hyperlink" xfId="4" builtinId="9" hidden="1"/>
    <cellStyle name="Followed Hyperlink" xfId="119" builtinId="9" hidden="1"/>
    <cellStyle name="Followed Hyperlink" xfId="35" builtinId="9" hidden="1"/>
    <cellStyle name="Followed Hyperlink" xfId="206" builtinId="9" hidden="1"/>
    <cellStyle name="Followed Hyperlink" xfId="180" builtinId="9" hidden="1"/>
    <cellStyle name="Followed Hyperlink" xfId="164" builtinId="9" hidden="1"/>
    <cellStyle name="Followed Hyperlink" xfId="42" builtinId="9" hidden="1"/>
    <cellStyle name="Followed Hyperlink" xfId="239" builtinId="9" hidden="1"/>
    <cellStyle name="Followed Hyperlink" xfId="96" builtinId="9" hidden="1"/>
    <cellStyle name="Followed Hyperlink" xfId="81" builtinId="9" hidden="1"/>
    <cellStyle name="Followed Hyperlink" xfId="141" builtinId="9" hidden="1"/>
    <cellStyle name="Followed Hyperlink" xfId="247" builtinId="9" hidden="1"/>
    <cellStyle name="Followed Hyperlink" xfId="114" builtinId="9" hidden="1"/>
    <cellStyle name="Followed Hyperlink" xfId="132" builtinId="9" hidden="1"/>
    <cellStyle name="Followed Hyperlink" xfId="110" builtinId="9" hidden="1"/>
    <cellStyle name="Followed Hyperlink" xfId="85" builtinId="9" hidden="1"/>
    <cellStyle name="Followed Hyperlink" xfId="69" builtinId="9" hidden="1"/>
    <cellStyle name="Followed Hyperlink" xfId="74" builtinId="9" hidden="1"/>
    <cellStyle name="Followed Hyperlink" xfId="204" builtinId="9" hidden="1"/>
    <cellStyle name="Followed Hyperlink" xfId="111" builtinId="9" hidden="1"/>
    <cellStyle name="Followed Hyperlink" xfId="101" builtinId="9" hidden="1"/>
    <cellStyle name="Followed Hyperlink" xfId="178" builtinId="9" hidden="1"/>
    <cellStyle name="Followed Hyperlink" xfId="130" builtinId="9" hidden="1"/>
    <cellStyle name="Followed Hyperlink" xfId="198" builtinId="9" hidden="1"/>
    <cellStyle name="Followed Hyperlink" xfId="12" builtinId="9" hidden="1"/>
    <cellStyle name="Followed Hyperlink" xfId="126" builtinId="9" hidden="1"/>
    <cellStyle name="Followed Hyperlink" xfId="59" builtinId="9" hidden="1"/>
    <cellStyle name="Followed Hyperlink" xfId="52" builtinId="9" hidden="1"/>
    <cellStyle name="Followed Hyperlink" xfId="154" builtinId="9" hidden="1"/>
    <cellStyle name="Followed Hyperlink" xfId="113" builtinId="9" hidden="1"/>
    <cellStyle name="Followed Hyperlink" xfId="217" builtinId="9" hidden="1"/>
    <cellStyle name="Followed Hyperlink" xfId="151" builtinId="9" hidden="1"/>
    <cellStyle name="Followed Hyperlink" xfId="6" builtinId="9" hidden="1"/>
    <cellStyle name="Followed Hyperlink" xfId="215" builtinId="9" hidden="1"/>
    <cellStyle name="Followed Hyperlink" xfId="129" builtinId="9" hidden="1"/>
    <cellStyle name="Followed Hyperlink" xfId="225" builtinId="9" hidden="1"/>
    <cellStyle name="Followed Hyperlink" xfId="60" builtinId="9" hidden="1"/>
    <cellStyle name="Followed Hyperlink" xfId="45" builtinId="9" hidden="1"/>
    <cellStyle name="Followed Hyperlink" xfId="92" builtinId="9" hidden="1"/>
    <cellStyle name="Followed Hyperlink" xfId="16" builtinId="9" hidden="1"/>
    <cellStyle name="Followed Hyperlink" xfId="91" builtinId="9" hidden="1"/>
    <cellStyle name="Followed Hyperlink" xfId="7" builtinId="9" hidden="1"/>
    <cellStyle name="Followed Hyperlink" xfId="105" builtinId="9" hidden="1"/>
    <cellStyle name="Followed Hyperlink" xfId="222" builtinId="9" hidden="1"/>
    <cellStyle name="Followed Hyperlink" xfId="27" builtinId="9" hidden="1"/>
    <cellStyle name="Followed Hyperlink" xfId="51" builtinId="9" hidden="1"/>
    <cellStyle name="Followed Hyperlink" xfId="227" builtinId="9" hidden="1"/>
    <cellStyle name="Normal" xfId="0" builtinId="0"/>
    <cellStyle name="Normal 2" xfId="252" xr:uid="{814727BC-60EF-4A51-904B-8B2C812E82F7}"/>
    <cellStyle name="Normal 2 2" xfId="254" xr:uid="{1D099EEC-1704-49F5-9513-34E69BB42635}"/>
    <cellStyle name="Normal 3" xfId="257" xr:uid="{A0674C3A-8537-48A1-98FE-05DECFF66311}"/>
    <cellStyle name="Normal 4" xfId="259" xr:uid="{3D1EF60B-45B0-4095-8E8D-F4ED93716E9D}"/>
    <cellStyle name="Percent" xfId="249" builtinId="5"/>
    <cellStyle name="Percent 2" xfId="253" xr:uid="{DE1F0B51-AD27-43A9-B2F7-FD4CBBAC1B3F}"/>
    <cellStyle name="Percent 2 2" xfId="256" xr:uid="{6773AA52-CC0C-441A-9C66-E3866755192C}"/>
  </cellStyles>
  <dxfs count="365">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double">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CF37"/>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double">
          <color indexed="64"/>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F8747"/>
        </patternFill>
      </fill>
      <alignment horizontal="center" vertical="bottom"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fill>
        <patternFill patternType="solid">
          <fgColor indexed="64"/>
          <bgColor theme="9" tint="0.79998168889431442"/>
        </patternFill>
      </fill>
      <border diagonalUp="0" diagonalDown="0" outline="0">
        <left style="thin">
          <color indexed="64"/>
        </left>
        <right/>
        <top style="double">
          <color auto="1"/>
        </top>
        <bottom/>
      </border>
    </dxf>
    <dxf>
      <numFmt numFmtId="164" formatCode="&quot;$&quot;#,##0.00"/>
      <fill>
        <patternFill patternType="none">
          <fgColor rgb="FF000000"/>
          <bgColor auto="1"/>
        </patternFill>
      </fill>
    </dxf>
    <dxf>
      <numFmt numFmtId="167" formatCode="&quot;$&quot;#,##0"/>
      <fill>
        <patternFill patternType="solid">
          <fgColor indexed="64"/>
          <bgColor theme="9" tint="0.79998168889431442"/>
        </patternFill>
      </fill>
      <border diagonalUp="0" diagonalDown="0" outline="0">
        <left style="thin">
          <color indexed="64"/>
        </left>
        <right/>
        <top style="double">
          <color auto="1"/>
        </top>
        <bottom/>
      </border>
    </dxf>
    <dxf>
      <numFmt numFmtId="167" formatCode="&quot;$&quot;#,##0"/>
      <fill>
        <patternFill patternType="none">
          <fgColor indexed="64"/>
          <bgColor auto="1"/>
        </patternFill>
      </fill>
      <border diagonalUp="0" diagonalDown="0" outline="0">
        <left/>
        <right/>
        <top style="thin">
          <color theme="8" tint="0.39997558519241921"/>
        </top>
        <bottom style="thin">
          <color theme="8" tint="0.39997558519241921"/>
        </bottom>
      </border>
    </dxf>
    <dxf>
      <numFmt numFmtId="167" formatCode="&quot;$&quot;#,##0"/>
      <fill>
        <patternFill patternType="solid">
          <fgColor indexed="64"/>
          <bgColor theme="9" tint="0.79998168889431442"/>
        </patternFill>
      </fill>
      <alignment horizontal="right"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numFmt numFmtId="167" formatCode="&quot;$&quot;#,##0"/>
      <fill>
        <patternFill patternType="none">
          <fgColor indexed="64"/>
          <bgColor auto="1"/>
        </patternFill>
      </fill>
      <alignment horizontal="right" vertical="bottom" textRotation="0" wrapText="0" indent="0" justifyLastLine="0" shrinkToFit="0" readingOrder="0"/>
      <border diagonalUp="0" diagonalDown="0" outline="0">
        <left/>
        <right/>
        <top style="thin">
          <color theme="8" tint="0.39997558519241921"/>
        </top>
        <bottom style="thin">
          <color theme="8" tint="0.39997558519241921"/>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numFmt numFmtId="167" formatCode="&quot;$&quot;#,##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numFmt numFmtId="1" formatCode="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numFmt numFmtId="1" formatCode="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numFmt numFmtId="1" formatCode="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8" tint="0.39997558519241921"/>
        </top>
        <bottom style="thin">
          <color theme="8" tint="0.39997558519241921"/>
        </bottom>
      </border>
    </dxf>
    <dxf>
      <numFmt numFmtId="1" formatCode="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right/>
        <top style="thin">
          <color theme="8" tint="0.39997558519241921"/>
        </top>
        <bottom style="thin">
          <color theme="8" tint="0.39997558519241921"/>
        </bottom>
      </border>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indexed="64"/>
        </left>
        <right/>
        <top style="double">
          <color auto="1"/>
        </top>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8" tint="0.39997558519241921"/>
        </left>
        <right/>
        <top style="thin">
          <color theme="8" tint="0.39997558519241921"/>
        </top>
        <bottom style="thin">
          <color theme="8" tint="0.39997558519241921"/>
        </bottom>
      </border>
    </dxf>
    <dxf>
      <border>
        <top style="double">
          <color auto="1"/>
        </top>
      </border>
    </dxf>
    <dxf>
      <fill>
        <patternFill patternType="solid">
          <fgColor indexed="64"/>
          <bgColor theme="9" tint="0.79998168889431442"/>
        </patternFill>
      </fill>
    </dxf>
    <dxf>
      <border outline="0">
        <bottom style="thin">
          <color rgb="FF9BC2E6"/>
        </bottom>
      </border>
    </dxf>
    <dxf>
      <fill>
        <patternFill patternType="none">
          <fgColor rgb="FF000000"/>
          <bgColor auto="1"/>
        </patternFill>
      </fill>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s>
  <tableStyles count="0" defaultTableStyle="TableStyleMedium9" defaultPivotStyle="PivotStyleMedium4"/>
  <colors>
    <mruColors>
      <color rgb="FFFFCF37"/>
      <color rgb="FFFFCB25"/>
      <color rgb="FFEF8747"/>
      <color rgb="FFED772F"/>
      <color rgb="FFEC7024"/>
      <color rgb="FFBF5311"/>
      <color rgb="FFE66414"/>
      <color rgb="FF75B44A"/>
      <color rgb="FFFEF1E6"/>
      <color rgb="FFAB2B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75E878-366F-44F0-A773-4C7FCE2A2AA9}" name="Table10123" displayName="Table10123" ref="A2:L13" totalsRowCount="1" headerRowDxfId="364" dataDxfId="363" totalsRowDxfId="361" tableBorderDxfId="362" totalsRowBorderDxfId="360">
  <autoFilter ref="A2:L12" xr:uid="{3D75E878-366F-44F0-A773-4C7FCE2A2AA9}"/>
  <tableColumns count="12">
    <tableColumn id="1" xr3:uid="{75447613-8E17-47C3-81F3-68A7EDFDA8C4}" name="User" totalsRowLabel="Total" dataDxfId="359" totalsRowDxfId="358"/>
    <tableColumn id="2" xr3:uid="{9B2FE2F3-AB43-4F83-BB1A-6A3DD111880A}" name="Available_x000a_Hours" totalsRowFunction="sum" dataDxfId="357" totalsRowDxfId="356">
      <calculatedColumnFormula>47*5*8</calculatedColumnFormula>
    </tableColumn>
    <tableColumn id="3" xr3:uid="{360284D1-EB85-422F-9640-E607D3769B70}" name="Utilization_x000a_Rate" dataDxfId="355" totalsRowDxfId="354" dataCellStyle="Percent"/>
    <tableColumn id="4" xr3:uid="{68F92BDA-866F-4305-B32E-9E1FC979627D}" name="Total_x000a_Billed Hours" totalsRowFunction="sum" dataDxfId="353" totalsRowDxfId="352">
      <calculatedColumnFormula>B3*C3</calculatedColumnFormula>
    </tableColumn>
    <tableColumn id="5" xr3:uid="{6FD045F0-1DED-40D5-A5F3-4250170EB869}" name="Realization_x000a_Rate" dataDxfId="351" totalsRowDxfId="350" dataCellStyle="Percent"/>
    <tableColumn id="6" xr3:uid="{C0E75149-EA5F-4242-A4F2-ECC0D915F65D}" name="Billed_x000a_After Discounts" totalsRowFunction="sum" dataDxfId="349" totalsRowDxfId="348">
      <calculatedColumnFormula>D3*E3</calculatedColumnFormula>
    </tableColumn>
    <tableColumn id="7" xr3:uid="{32B315C8-BF11-4763-9FC0-D3677616EC73}" name="Collection_x000a_Rate" dataDxfId="347" totalsRowDxfId="346" dataCellStyle="Percent"/>
    <tableColumn id="8" xr3:uid="{3EB4B51A-0516-4DA5-BB39-6E6AEEC0F915}" name="Billed Hours_x000a_Collected" totalsRowFunction="sum" dataDxfId="345" totalsRowDxfId="344">
      <calculatedColumnFormula>F3*G3</calculatedColumnFormula>
    </tableColumn>
    <tableColumn id="9" xr3:uid="{D448C8D0-34B1-4DCA-BB64-46CFA36A45C7}" name="Billing_x000a_Rate" dataDxfId="343" totalsRowDxfId="342"/>
    <tableColumn id="10" xr3:uid="{B7C0FB8A-6288-49A9-B2A5-22E0341C3857}" name="2026_x000a_Collection Goal" totalsRowFunction="sum" dataDxfId="341" totalsRowDxfId="340">
      <calculatedColumnFormula>H3*I3</calculatedColumnFormula>
    </tableColumn>
    <tableColumn id="11" xr3:uid="{067FE816-4710-4900-B0E3-56ECAEEB11CA}" name="2025_x000a_Collections" totalsRowFunction="sum" dataDxfId="339" totalsRowDxfId="338"/>
    <tableColumn id="12" xr3:uid="{EFB640E6-AF27-4DFC-96C6-96F997C868AA}" name="2026 Monthly" dataDxfId="337" totalsRowDxfId="336">
      <calculatedColumnFormula>J3/12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C1C73C-EC28-40E4-AC99-7A889D222B34}" name="Table4" displayName="Table4" ref="B2:H12" totalsRowShown="0" headerRowDxfId="335" headerRowBorderDxfId="334" tableBorderDxfId="333" totalsRowBorderDxfId="332" headerRowCellStyle="Normal 2">
  <autoFilter ref="B2:H12" xr:uid="{F8C1C73C-EC28-40E4-AC99-7A889D222B34}"/>
  <tableColumns count="7">
    <tableColumn id="1" xr3:uid="{9230845C-61B4-4F6E-8EAA-0F8B0F409810}" name="Employee" dataDxfId="331" dataCellStyle="Normal 2"/>
    <tableColumn id="2" xr3:uid="{1A9A8092-361E-4766-8F50-A83BC8211ADA}" name="Billable" dataDxfId="330" dataCellStyle="Normal 2"/>
    <tableColumn id="3" xr3:uid="{FF8EDCF8-389A-4406-B89B-7B10D3B15DB8}" name="Nonbillable" dataDxfId="329" dataCellStyle="Normal 2"/>
    <tableColumn id="4" xr3:uid="{75115E53-0EE2-402C-B9D6-384E2C342778}" name="Total" dataDxfId="328" dataCellStyle="Normal 2">
      <calculatedColumnFormula>SUM(C3+D3)</calculatedColumnFormula>
    </tableColumn>
    <tableColumn id="5" xr3:uid="{A147FC32-1290-4D09-9B92-24A4C280F6C2}" name="Available Hours" dataDxfId="327" dataCellStyle="Normal 2">
      <calculatedColumnFormula>1880/12</calculatedColumnFormula>
    </tableColumn>
    <tableColumn id="6" xr3:uid="{6E8C0E8C-A9DB-4BD7-9147-E75269AF2870}" name="Untracked" dataDxfId="326" dataCellStyle="Normal 2">
      <calculatedColumnFormula>MAX(F3-E3, 0)</calculatedColumnFormula>
    </tableColumn>
    <tableColumn id="7" xr3:uid="{C7F5DE4D-58E3-44DF-8639-94D074CBF4B9}" name="Utilization Rate" dataDxfId="325" dataCellStyle="Percent 2">
      <calculatedColumnFormula>C3/F3</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793515-F867-41A4-916F-D94CA6131BAB}" name="Table46" displayName="Table46" ref="B14:H24" totalsRowShown="0" headerRowDxfId="324" headerRowBorderDxfId="323" tableBorderDxfId="322" totalsRowBorderDxfId="321" headerRowCellStyle="Normal 2">
  <autoFilter ref="B14:H24" xr:uid="{FF793515-F867-41A4-916F-D94CA6131BAB}"/>
  <tableColumns count="7">
    <tableColumn id="1" xr3:uid="{0C9AF17A-6AF8-41A5-B2A3-9A1AE506DC49}" name="Employee" dataDxfId="320" dataCellStyle="Normal 2"/>
    <tableColumn id="2" xr3:uid="{0835DB70-173F-445E-A2B0-7C4C5D451497}" name="Billable" dataDxfId="319" dataCellStyle="Normal 2"/>
    <tableColumn id="3" xr3:uid="{A33C608D-3B9C-4B26-B65C-82D01C70C584}" name="Nonbillable" dataDxfId="318" dataCellStyle="Normal 2"/>
    <tableColumn id="4" xr3:uid="{04760282-E6B9-47D3-BDA3-A34DF913017A}" name="Total" dataDxfId="317" dataCellStyle="Normal 2">
      <calculatedColumnFormula>SUM(C15+D15)</calculatedColumnFormula>
    </tableColumn>
    <tableColumn id="5" xr3:uid="{497EF795-9D33-4BC8-BC4B-2C0DCC2388E8}" name="Available Hours" dataDxfId="316" dataCellStyle="Normal 2">
      <calculatedColumnFormula>1880/12</calculatedColumnFormula>
    </tableColumn>
    <tableColumn id="6" xr3:uid="{AA8CA97D-185A-4695-961D-7B717D50BB76}" name="Untracked" dataDxfId="315" dataCellStyle="Normal 2">
      <calculatedColumnFormula>MAX(F15-E15, 0)</calculatedColumnFormula>
    </tableColumn>
    <tableColumn id="7" xr3:uid="{8B3CB4E7-267F-4C81-A274-08FA09C62288}" name="Utilization Rate" dataDxfId="314" dataCellStyle="Percent 2">
      <calculatedColumnFormula>C15/F15</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FF21EB-7AE0-4007-9B67-51489E05F78E}" name="Table47" displayName="Table47" ref="B26:H36" totalsRowShown="0" headerRowDxfId="313" headerRowBorderDxfId="312" tableBorderDxfId="311" totalsRowBorderDxfId="310" headerRowCellStyle="Normal 2">
  <autoFilter ref="B26:H36" xr:uid="{23FF21EB-7AE0-4007-9B67-51489E05F78E}"/>
  <tableColumns count="7">
    <tableColumn id="1" xr3:uid="{F026D787-1A19-4861-8775-411DCB2843A7}" name="Employee" dataDxfId="309" dataCellStyle="Normal 2"/>
    <tableColumn id="2" xr3:uid="{4089416C-B503-4109-9722-5A61BEEAE86C}" name="Billable" dataDxfId="308" dataCellStyle="Normal 2"/>
    <tableColumn id="3" xr3:uid="{CD39D2A6-1BF0-428A-98A2-A11900750B3A}" name="Nonbillable" dataDxfId="307" dataCellStyle="Normal 2"/>
    <tableColumn id="4" xr3:uid="{DC3BF5D2-AB1E-4233-B052-D1C900500701}" name="Total" dataDxfId="306" dataCellStyle="Normal 2">
      <calculatedColumnFormula>SUM(C27+D27)</calculatedColumnFormula>
    </tableColumn>
    <tableColumn id="5" xr3:uid="{839EAF18-BC27-4809-9821-82B6B6A8F2CF}" name="Available Hours" dataDxfId="0" dataCellStyle="Normal 2">
      <calculatedColumnFormula>1880/12</calculatedColumnFormula>
    </tableColumn>
    <tableColumn id="6" xr3:uid="{DBD4916E-D35D-455B-8572-F1F582C5E425}" name="Untracked" dataDxfId="305" dataCellStyle="Normal 2">
      <calculatedColumnFormula>MAX(F27-E27, 0)</calculatedColumnFormula>
    </tableColumn>
    <tableColumn id="7" xr3:uid="{66462176-B670-49E4-94EB-A94926AB11AF}" name="Utilization Rate" dataDxfId="304" dataCellStyle="Percent 2">
      <calculatedColumnFormula>C27/F27</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C78C021-E79D-4FE4-B9A4-9E94A51FA21C}" name="Table48" displayName="Table48" ref="B38:H48" totalsRowShown="0" headerRowDxfId="303" headerRowBorderDxfId="302" tableBorderDxfId="301" totalsRowBorderDxfId="300" headerRowCellStyle="Normal 2">
  <autoFilter ref="B38:H48" xr:uid="{7C78C021-E79D-4FE4-B9A4-9E94A51FA21C}"/>
  <tableColumns count="7">
    <tableColumn id="1" xr3:uid="{04A63574-9635-47E3-8B47-4BDFFB5BBF67}" name="Employee" dataDxfId="299" dataCellStyle="Normal 2"/>
    <tableColumn id="2" xr3:uid="{FA397722-DC07-4B54-B4D0-FF8EB828F1DF}" name="Billable" dataDxfId="298" dataCellStyle="Normal 2"/>
    <tableColumn id="3" xr3:uid="{F453F30A-2F61-41CB-BD3C-67D9CAFA0EAE}" name="Nonbillable" dataDxfId="297" dataCellStyle="Normal 2"/>
    <tableColumn id="4" xr3:uid="{D1F8DC9E-8B06-4548-944F-2910309CEE18}" name="Total" dataDxfId="296" dataCellStyle="Normal 2">
      <calculatedColumnFormula>SUM(C39+D39)</calculatedColumnFormula>
    </tableColumn>
    <tableColumn id="5" xr3:uid="{2EB1B899-D6F6-4A1C-B1E4-2FAB29C829BA}" name="Available Hours" dataDxfId="295" dataCellStyle="Normal 2">
      <calculatedColumnFormula>1880/12</calculatedColumnFormula>
    </tableColumn>
    <tableColumn id="6" xr3:uid="{AD407A21-35A7-4FD8-9B09-42D7ED0EE4C0}" name="Untracked" dataDxfId="294" dataCellStyle="Normal 2">
      <calculatedColumnFormula>MAX(F39-E39, 0)</calculatedColumnFormula>
    </tableColumn>
    <tableColumn id="7" xr3:uid="{3AE58730-6133-4FEB-A5AF-DAE1AC443382}" name="Utilization Rate" dataDxfId="293" dataCellStyle="Percent 2">
      <calculatedColumnFormula>C39/F39</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46DF31-EFAA-43AC-A205-F86BB0CEE622}" name="Table49" displayName="Table49" ref="B50:H60" totalsRowShown="0" headerRowDxfId="292" headerRowBorderDxfId="291" tableBorderDxfId="290" totalsRowBorderDxfId="289" headerRowCellStyle="Normal 2">
  <autoFilter ref="B50:H60" xr:uid="{7646DF31-EFAA-43AC-A205-F86BB0CEE622}"/>
  <tableColumns count="7">
    <tableColumn id="1" xr3:uid="{B3D1630A-5EAD-4019-82C8-3C04A0C8279B}" name="Employee" dataDxfId="288" dataCellStyle="Normal 2"/>
    <tableColumn id="2" xr3:uid="{419B92E5-31F9-4754-8447-2419C456D68A}" name="Billable" dataDxfId="287" dataCellStyle="Normal 2"/>
    <tableColumn id="3" xr3:uid="{79B5120A-9A98-49C6-882F-F94AF40F7E2A}" name="Nonbillable" dataDxfId="286" dataCellStyle="Normal 2"/>
    <tableColumn id="4" xr3:uid="{5D21D11F-3F8A-41DB-9E82-7F74370FE205}" name="Total" dataDxfId="285" dataCellStyle="Normal 2">
      <calculatedColumnFormula>SUM(C51+D51)</calculatedColumnFormula>
    </tableColumn>
    <tableColumn id="5" xr3:uid="{BADAA8D0-F97F-4A91-939F-893B81B3DEFC}" name="Available Hours" dataDxfId="284" dataCellStyle="Normal 2">
      <calculatedColumnFormula>1880/12</calculatedColumnFormula>
    </tableColumn>
    <tableColumn id="6" xr3:uid="{F46850B2-A3EC-4D94-B3BF-54A43028B543}" name="Untracked" dataDxfId="283" dataCellStyle="Normal 2">
      <calculatedColumnFormula>MAX(F51-E51, 0)</calculatedColumnFormula>
    </tableColumn>
    <tableColumn id="7" xr3:uid="{17044989-3242-4AF9-9513-561B84546625}" name="Utilization Rate" dataDxfId="282" dataCellStyle="Percent 2">
      <calculatedColumnFormula>C51/F51</calculatedColumnFormula>
    </tableColumn>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8F7E3A-80F3-4CB8-8495-51C7E705C512}" name="Table410" displayName="Table410" ref="B62:H72" totalsRowShown="0" headerRowDxfId="281" headerRowBorderDxfId="280" tableBorderDxfId="279" totalsRowBorderDxfId="278" headerRowCellStyle="Normal 2">
  <autoFilter ref="B62:H72" xr:uid="{6B8F7E3A-80F3-4CB8-8495-51C7E705C512}"/>
  <tableColumns count="7">
    <tableColumn id="1" xr3:uid="{FB020663-A8D6-4A28-B579-61E5D3668E3A}" name="Employee" dataDxfId="277" dataCellStyle="Normal 2"/>
    <tableColumn id="2" xr3:uid="{23CB32F1-986D-45B6-BE80-FB972CDCD016}" name="Billable" dataDxfId="276" dataCellStyle="Normal 2"/>
    <tableColumn id="3" xr3:uid="{DF628C95-D4FF-4739-A28F-72EA33FC6E06}" name="Nonbillable" dataDxfId="275" dataCellStyle="Normal 2"/>
    <tableColumn id="4" xr3:uid="{974B634C-D8C8-4A93-A62C-C0CDC6E259B7}" name="Total" dataDxfId="274" dataCellStyle="Normal 2">
      <calculatedColumnFormula>SUM(C63+D63)</calculatedColumnFormula>
    </tableColumn>
    <tableColumn id="5" xr3:uid="{C6A98F1C-E1E1-41DC-A7CA-A8C70AFB7328}" name="Available Hours" dataDxfId="273" dataCellStyle="Normal 2">
      <calculatedColumnFormula>1880/12</calculatedColumnFormula>
    </tableColumn>
    <tableColumn id="6" xr3:uid="{B412A142-DC2C-46EA-A942-6CAFAFB2B010}" name="Untracked" dataDxfId="272" dataCellStyle="Normal 2">
      <calculatedColumnFormula>MAX(F63-E63, 0)</calculatedColumnFormula>
    </tableColumn>
    <tableColumn id="7" xr3:uid="{55EFF976-79BF-440E-A237-399E182B8EFB}" name="Utilization Rate" dataDxfId="271" dataCellStyle="Percent 2">
      <calculatedColumnFormula>C63/F63</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09AE09-97FF-4542-8569-2E3A5F1C2D4C}" name="Table411" displayName="Table411" ref="B74:H84" totalsRowShown="0" headerRowDxfId="270" headerRowBorderDxfId="269" tableBorderDxfId="268" totalsRowBorderDxfId="267" headerRowCellStyle="Normal 2">
  <autoFilter ref="B74:H84" xr:uid="{6809AE09-97FF-4542-8569-2E3A5F1C2D4C}"/>
  <tableColumns count="7">
    <tableColumn id="1" xr3:uid="{15B6890B-F943-4304-B3B7-AA925F98EC7E}" name="Employee" dataDxfId="266" dataCellStyle="Normal 2"/>
    <tableColumn id="2" xr3:uid="{70EFD069-8A29-4917-A471-E9C5EC8FC4CF}" name="Billable" dataDxfId="265" dataCellStyle="Normal 2"/>
    <tableColumn id="3" xr3:uid="{4F7C0E6B-0C6A-4613-98C0-CBF170D429AC}" name="Nonbillable" dataDxfId="264" dataCellStyle="Normal 2"/>
    <tableColumn id="4" xr3:uid="{7D8DDD08-CC7C-4E1D-9CC0-3FDFDE271FAD}" name="Total" dataDxfId="263" dataCellStyle="Normal 2">
      <calculatedColumnFormula>SUM(C75+D75)</calculatedColumnFormula>
    </tableColumn>
    <tableColumn id="5" xr3:uid="{52C1A0C4-73D7-4B01-852D-211638D65A5B}" name="Available Hours" dataDxfId="262" dataCellStyle="Normal 2">
      <calculatedColumnFormula>1880/12</calculatedColumnFormula>
    </tableColumn>
    <tableColumn id="6" xr3:uid="{4E67DE40-A557-46E3-B9CA-10EA16EE7245}" name="Untracked" dataDxfId="261" dataCellStyle="Normal 2">
      <calculatedColumnFormula>MAX(F75-E75, 0)</calculatedColumnFormula>
    </tableColumn>
    <tableColumn id="7" xr3:uid="{D44F2EB2-E1B1-4AA1-89A5-CC7055E4C4D4}" name="Utilization Rate" dataDxfId="260" dataCellStyle="Percent 2">
      <calculatedColumnFormula>C75/F75</calculatedColumnFormula>
    </tableColumn>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10B39E-F3CC-470E-BAAD-A0F6E7942EC4}" name="Table412" displayName="Table412" ref="B86:H96" totalsRowShown="0" headerRowDxfId="259" headerRowBorderDxfId="258" tableBorderDxfId="257" totalsRowBorderDxfId="256" headerRowCellStyle="Normal 2">
  <autoFilter ref="B86:H96" xr:uid="{6510B39E-F3CC-470E-BAAD-A0F6E7942EC4}"/>
  <tableColumns count="7">
    <tableColumn id="1" xr3:uid="{4BA5EDCC-B9AB-4D4B-B34C-E69FBD5D8FDA}" name="Employee" dataDxfId="255" dataCellStyle="Normal 2"/>
    <tableColumn id="2" xr3:uid="{734C8CBC-1D99-4214-9802-A3340B2B6C8C}" name="Billable" dataDxfId="254" dataCellStyle="Normal 2"/>
    <tableColumn id="3" xr3:uid="{BC6C36CF-5840-4B49-B296-48681FCBBF4A}" name="Nonbillable" dataDxfId="253" dataCellStyle="Normal 2"/>
    <tableColumn id="4" xr3:uid="{35E5DB68-A56C-4902-B669-48E65F7AE481}" name="Total" dataDxfId="252" dataCellStyle="Normal 2">
      <calculatedColumnFormula>SUM(C87+D87)</calculatedColumnFormula>
    </tableColumn>
    <tableColumn id="5" xr3:uid="{A3A899D9-0031-4468-83E7-0EFF55121B54}" name="Available Hours" dataDxfId="251" dataCellStyle="Normal 2">
      <calculatedColumnFormula>1880/12</calculatedColumnFormula>
    </tableColumn>
    <tableColumn id="6" xr3:uid="{BD3D2242-2F01-440B-A155-7471FE93FC9A}" name="Untracked" dataDxfId="250" dataCellStyle="Normal 2">
      <calculatedColumnFormula>MAX(F87-E87, 0)</calculatedColumnFormula>
    </tableColumn>
    <tableColumn id="7" xr3:uid="{3F3384EB-80C5-4E62-A2D5-F0463AAACDC4}" name="Utilization Rate" dataDxfId="249" dataCellStyle="Percent 2">
      <calculatedColumnFormula>C87/F87</calculatedColumnFormula>
    </tableColumn>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B15A2C2-E190-48B2-B4D3-FEFE02C0F20F}" name="Table413" displayName="Table413" ref="B98:H108" totalsRowShown="0" headerRowDxfId="248" headerRowBorderDxfId="247" tableBorderDxfId="246" totalsRowBorderDxfId="245" headerRowCellStyle="Normal 2">
  <autoFilter ref="B98:H108" xr:uid="{6B15A2C2-E190-48B2-B4D3-FEFE02C0F20F}"/>
  <tableColumns count="7">
    <tableColumn id="1" xr3:uid="{76A6C6E2-56CD-4B33-B8E0-2ECAE6AFCD2E}" name="Employee" dataDxfId="244" dataCellStyle="Normal 2"/>
    <tableColumn id="2" xr3:uid="{B7C88B95-47EA-469D-96A4-09721F48B820}" name="Billable" dataDxfId="243" dataCellStyle="Normal 2"/>
    <tableColumn id="3" xr3:uid="{5FD92764-B674-465B-9CC8-B94B2D807D01}" name="Nonbillable" dataDxfId="242" dataCellStyle="Normal 2"/>
    <tableColumn id="4" xr3:uid="{A0978C3E-7C30-495E-8471-E89D02D7D83C}" name="Total" dataDxfId="241" dataCellStyle="Normal 2">
      <calculatedColumnFormula>SUM(C99+D99)</calculatedColumnFormula>
    </tableColumn>
    <tableColumn id="5" xr3:uid="{5262660B-CA3D-4CF6-857E-6D308359C2C4}" name="Available Hours" dataDxfId="240" dataCellStyle="Normal 2">
      <calculatedColumnFormula>1880/12</calculatedColumnFormula>
    </tableColumn>
    <tableColumn id="6" xr3:uid="{BDD35D02-F3BE-4B0F-A35F-567A5E5E0F47}" name="Untracked" dataDxfId="239" dataCellStyle="Normal 2">
      <calculatedColumnFormula>MAX(F99-E99, 0)</calculatedColumnFormula>
    </tableColumn>
    <tableColumn id="7" xr3:uid="{345B3E27-359A-49EF-9CAF-B2D59704FAA0}" name="Utilization Rate" dataDxfId="238" dataCellStyle="Percent 2">
      <calculatedColumnFormula>C99/F99</calculatedColumnFormula>
    </tableColumn>
  </tableColumns>
  <tableStyleInfo name="TableStyleMedium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04D280-3D87-4EA5-9157-DCA9A6B834EC}" name="Table414" displayName="Table414" ref="B110:H120" totalsRowShown="0" headerRowDxfId="237" headerRowBorderDxfId="236" tableBorderDxfId="235" totalsRowBorderDxfId="234" headerRowCellStyle="Normal 2">
  <autoFilter ref="B110:H120" xr:uid="{F504D280-3D87-4EA5-9157-DCA9A6B834EC}"/>
  <tableColumns count="7">
    <tableColumn id="1" xr3:uid="{92209DD0-110D-410C-B7D5-AC8ACFC62C7A}" name="Employee" dataDxfId="233" dataCellStyle="Normal 2"/>
    <tableColumn id="2" xr3:uid="{E9AE3A9E-390E-450A-A641-0ABF28C531A7}" name="Billable" dataDxfId="232" dataCellStyle="Normal 2"/>
    <tableColumn id="3" xr3:uid="{CDC16976-47FD-4AD7-8BE4-8EA92F8A6A17}" name="Nonbillable" dataDxfId="231" dataCellStyle="Normal 2"/>
    <tableColumn id="4" xr3:uid="{C861555D-7319-4ADB-9631-B759FD72D193}" name="Total" dataDxfId="230" dataCellStyle="Normal 2">
      <calculatedColumnFormula>SUM(C111+D111)</calculatedColumnFormula>
    </tableColumn>
    <tableColumn id="5" xr3:uid="{D70C20C8-70F6-4445-95C2-87FC8D8A7BA0}" name="Available Hours" dataDxfId="229" dataCellStyle="Normal 2">
      <calculatedColumnFormula>1880/12</calculatedColumnFormula>
    </tableColumn>
    <tableColumn id="6" xr3:uid="{0255531E-D796-4278-A9EF-6863CA94BF42}" name="Untracked" dataDxfId="228" dataCellStyle="Normal 2">
      <calculatedColumnFormula>MAX(F111-E111, 0)</calculatedColumnFormula>
    </tableColumn>
    <tableColumn id="7" xr3:uid="{0EAE3679-0E07-4E1C-B6A2-233949E667D7}" name="Utilization Rate" dataDxfId="227" dataCellStyle="Percent 2">
      <calculatedColumnFormula>C111/F111</calculatedColumnFormula>
    </tableColumn>
  </tableColumns>
  <tableStyleInfo name="TableStyleMedium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BBA0F21-7E1B-4B87-B9CA-439DED78C346}" name="Table415" displayName="Table415" ref="B122:H132" totalsRowShown="0" headerRowDxfId="226" headerRowBorderDxfId="225" tableBorderDxfId="224" totalsRowBorderDxfId="223" headerRowCellStyle="Normal 2">
  <autoFilter ref="B122:H132" xr:uid="{2BBA0F21-7E1B-4B87-B9CA-439DED78C346}"/>
  <tableColumns count="7">
    <tableColumn id="1" xr3:uid="{5808EB7C-9F27-428C-9882-CEBD914CCD71}" name="Employee" dataDxfId="222" dataCellStyle="Normal 2"/>
    <tableColumn id="2" xr3:uid="{93DBDB8B-9A39-4D1F-81B8-55DBFCC85B04}" name="Billable" dataDxfId="221" dataCellStyle="Normal 2"/>
    <tableColumn id="3" xr3:uid="{7426B62B-600F-4AC2-8274-F477B7FE819A}" name="Nonbillable" dataDxfId="220" dataCellStyle="Normal 2"/>
    <tableColumn id="4" xr3:uid="{934E4660-A3C6-4F34-8233-50C4A17827BB}" name="Total" dataDxfId="219" dataCellStyle="Normal 2">
      <calculatedColumnFormula>SUM(C123+D123)</calculatedColumnFormula>
    </tableColumn>
    <tableColumn id="5" xr3:uid="{C1422434-9AC9-4958-94F5-6D5C86E5FC5C}" name="Available Hours" dataDxfId="218" dataCellStyle="Normal 2">
      <calculatedColumnFormula>1880/12</calculatedColumnFormula>
    </tableColumn>
    <tableColumn id="6" xr3:uid="{4FBB68D5-BA2E-4096-8ACA-AAF3574238BC}" name="Untracked" dataDxfId="217" dataCellStyle="Normal 2">
      <calculatedColumnFormula>MAX(F123-E123, 0)</calculatedColumnFormula>
    </tableColumn>
    <tableColumn id="7" xr3:uid="{DF9C443C-3E5A-4FAC-A340-54ED5EE77412}" name="Utilization Rate" dataDxfId="216" dataCellStyle="Percent 2">
      <calculatedColumnFormula>C123/F123</calculatedColumnFormula>
    </tableColumn>
  </tableColumns>
  <tableStyleInfo name="TableStyleMedium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B9F861-B72B-40E3-80BC-9C163F57A1F0}" name="Table416" displayName="Table416" ref="B134:H144" totalsRowShown="0" headerRowDxfId="215" headerRowBorderDxfId="214" tableBorderDxfId="213" totalsRowBorderDxfId="212" headerRowCellStyle="Normal 2">
  <autoFilter ref="B134:H144" xr:uid="{E3B9F861-B72B-40E3-80BC-9C163F57A1F0}"/>
  <tableColumns count="7">
    <tableColumn id="1" xr3:uid="{99902343-CE66-4ACA-9FE0-B3CB8FCD80B9}" name="Employee" dataDxfId="211" dataCellStyle="Normal 2"/>
    <tableColumn id="2" xr3:uid="{CF18C4ED-F677-4F48-ABF5-6A9EEB15EB43}" name="Billable" dataDxfId="210" dataCellStyle="Normal 2"/>
    <tableColumn id="3" xr3:uid="{5F594027-B5C4-47DD-8C01-9DBE5462E0B1}" name="Nonbillable" dataDxfId="209" dataCellStyle="Normal 2"/>
    <tableColumn id="4" xr3:uid="{301B5D9A-57FE-4197-8214-92AAEB23A99C}" name="Total" dataDxfId="208" dataCellStyle="Normal 2">
      <calculatedColumnFormula>SUM(C135+D135)</calculatedColumnFormula>
    </tableColumn>
    <tableColumn id="5" xr3:uid="{6DFA8C1B-9881-4319-9FC0-FEDD25422700}" name="Available Hours" dataDxfId="207" dataCellStyle="Normal 2">
      <calculatedColumnFormula>1880/12</calculatedColumnFormula>
    </tableColumn>
    <tableColumn id="6" xr3:uid="{AA8481A0-0916-47D0-BC49-D3DF1A25ED42}" name="Untracked" dataDxfId="206" dataCellStyle="Normal 2">
      <calculatedColumnFormula>MAX(F135-E135, 0)</calculatedColumnFormula>
    </tableColumn>
    <tableColumn id="7" xr3:uid="{67FA9C1D-BEA4-4339-9D71-7166394C1642}" name="Utilization Rate" dataDxfId="205" dataCellStyle="Percent 2">
      <calculatedColumnFormula>C135/F135</calculatedColumnFormula>
    </tableColumn>
  </tableColumns>
  <tableStyleInfo name="TableStyleMedium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1E11B7-B89D-48B9-ABF6-CD0BB7ED9084}" name="Table16" displayName="Table16" ref="B2:G13" totalsRowShown="0" headerRowDxfId="204" dataDxfId="202" headerRowBorderDxfId="203" tableBorderDxfId="201" headerRowCellStyle="Normal 2" dataCellStyle="Normal 2">
  <autoFilter ref="B2:G13" xr:uid="{E51E11B7-B89D-48B9-ABF6-CD0BB7ED9084}"/>
  <tableColumns count="6">
    <tableColumn id="1" xr3:uid="{F6AAE7FB-256B-4077-9F6F-F8B0635732BE}" name="Employee" dataDxfId="200" dataCellStyle="Normal 2"/>
    <tableColumn id="2" xr3:uid="{132D87FA-63E3-4AB1-BC72-9F7D0565A580}" name="Total Billed Hours" dataDxfId="199" dataCellStyle="Normal 2"/>
    <tableColumn id="3" xr3:uid="{C111FFDF-BF90-4AB3-A31C-F57151F8CB63}" name="Billed: Nondiscounted" dataDxfId="198" dataCellStyle="Normal 2"/>
    <tableColumn id="4" xr3:uid="{3021C979-CD4D-4ED0-BFCC-9B4FA9C8C29E}" name="Billed: Discounted" dataDxfId="197" dataCellStyle="Normal 2"/>
    <tableColumn id="5" xr3:uid="{C05A76E4-0166-4BC9-A9DC-24BD14F0C100}" name="Unbilled &amp; Draft" dataDxfId="196" dataCellStyle="Normal 2"/>
    <tableColumn id="6" xr3:uid="{583B5E41-2B4B-468B-85AC-1AE6050BF54E}" name="Realization Rate" dataDxfId="195" dataCellStyle="Percent 2"/>
  </tableColumns>
  <tableStyleInfo name="TableStyleMedium1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05BF4F-D264-421E-B2CC-4EAC57DE65DA}" name="Table1618" displayName="Table1618" ref="B15:G26" totalsRowShown="0" headerRowDxfId="194" dataDxfId="192" headerRowBorderDxfId="193" tableBorderDxfId="191" headerRowCellStyle="Normal 2" dataCellStyle="Normal 2">
  <autoFilter ref="B15:G26" xr:uid="{7105BF4F-D264-421E-B2CC-4EAC57DE65DA}"/>
  <tableColumns count="6">
    <tableColumn id="1" xr3:uid="{1AA12531-4A95-4843-B0ED-1C21DF633E24}" name="Employee" dataDxfId="190" dataCellStyle="Normal 2"/>
    <tableColumn id="2" xr3:uid="{6E1279AF-4950-42B3-9A9C-ECB3E7E115EA}" name="Total Billed Hours" dataDxfId="189" dataCellStyle="Normal 2"/>
    <tableColumn id="3" xr3:uid="{BC37DCDF-2D2F-417F-BA9F-F783549BEEEB}" name="Billed: Nondiscounted" dataDxfId="188" dataCellStyle="Normal 2"/>
    <tableColumn id="4" xr3:uid="{B9F10118-E4CD-47BC-81A1-C844FA6F64A7}" name="Billed: Discounted" dataDxfId="187" dataCellStyle="Normal 2"/>
    <tableColumn id="5" xr3:uid="{6FEBEBA8-1008-46AF-8253-55E4B016691A}" name="Unbilled &amp; Draft" dataDxfId="186" dataCellStyle="Normal 2"/>
    <tableColumn id="6" xr3:uid="{54AD0111-94EE-4C09-B7ED-FB492C0213EA}" name="Realization Rate" dataDxfId="185" dataCellStyle="Percent 2"/>
  </tableColumns>
  <tableStyleInfo name="TableStyleMedium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8E5C04-3534-4285-B0B2-0E0F3A8779A9}" name="Table1619" displayName="Table1619" ref="B28:G39" totalsRowShown="0" headerRowDxfId="184" dataDxfId="182" headerRowBorderDxfId="183" tableBorderDxfId="181" headerRowCellStyle="Normal 2" dataCellStyle="Normal 2">
  <autoFilter ref="B28:G39" xr:uid="{838E5C04-3534-4285-B0B2-0E0F3A8779A9}"/>
  <tableColumns count="6">
    <tableColumn id="1" xr3:uid="{5A5783EC-57C5-4B94-9C11-5B39E28C68D2}" name="Employee" dataDxfId="180" dataCellStyle="Normal 2"/>
    <tableColumn id="2" xr3:uid="{2FB0CC35-927D-42F4-8D47-66158A98C5E0}" name="Total Billed Hours" dataDxfId="179" dataCellStyle="Normal 2"/>
    <tableColumn id="3" xr3:uid="{9AE9E1FA-987E-43D1-8F57-FE15F7B2D9EC}" name="Billed: Nondiscounted" dataDxfId="178" dataCellStyle="Normal 2"/>
    <tableColumn id="4" xr3:uid="{B9AF5E13-4665-4B6C-A3B6-4F1C12FFDE4E}" name="Billed: Discounted" dataDxfId="177" dataCellStyle="Normal 2"/>
    <tableColumn id="5" xr3:uid="{B27BE26E-18D7-4CCF-BC42-77A50A8C6337}" name="Unbilled &amp; Draft" dataDxfId="176" dataCellStyle="Normal 2"/>
    <tableColumn id="6" xr3:uid="{8E096040-D731-42E0-BD16-783C76EE9BBB}" name="Realization Rate" dataDxfId="175" dataCellStyle="Percent 2"/>
  </tableColumns>
  <tableStyleInfo name="TableStyleMedium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42C940B-22CD-4FA6-A5CB-2EB89E996B59}" name="Table1620" displayName="Table1620" ref="B41:G52" totalsRowShown="0" headerRowDxfId="174" dataDxfId="172" headerRowBorderDxfId="173" tableBorderDxfId="171" headerRowCellStyle="Normal 2" dataCellStyle="Normal 2">
  <autoFilter ref="B41:G52" xr:uid="{042C940B-22CD-4FA6-A5CB-2EB89E996B59}"/>
  <tableColumns count="6">
    <tableColumn id="1" xr3:uid="{1B946FA1-03D9-4595-9230-95C0DD04292A}" name="Employee" dataDxfId="170" dataCellStyle="Normal 2"/>
    <tableColumn id="2" xr3:uid="{D486322D-33DB-4328-90A1-038E57815F74}" name="Total Billed Hours" dataDxfId="169" dataCellStyle="Normal 2"/>
    <tableColumn id="3" xr3:uid="{D116F518-4103-4D0D-B5EB-CA6A91868575}" name="Billed: Nondiscounted" dataDxfId="168" dataCellStyle="Normal 2"/>
    <tableColumn id="4" xr3:uid="{A96EB742-B9F8-4F66-9387-CDB8E2A85A01}" name="Billed: Discounted" dataDxfId="167" dataCellStyle="Normal 2"/>
    <tableColumn id="5" xr3:uid="{4E654F16-8027-4B62-86AE-6F78DFF2BF9C}" name="Unbilled &amp; Draft" dataDxfId="166" dataCellStyle="Normal 2"/>
    <tableColumn id="6" xr3:uid="{49620086-90C9-4345-8583-CA4729483650}" name="Realization Rate" dataDxfId="165" dataCellStyle="Percent 2"/>
  </tableColumns>
  <tableStyleInfo name="TableStyleMedium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551CA5D-57EC-436E-96FB-5BBD1DF75212}" name="Table1621" displayName="Table1621" ref="B54:G65" totalsRowShown="0" headerRowDxfId="164" dataDxfId="162" headerRowBorderDxfId="163" tableBorderDxfId="161" headerRowCellStyle="Normal 2" dataCellStyle="Normal 2">
  <autoFilter ref="B54:G65" xr:uid="{5551CA5D-57EC-436E-96FB-5BBD1DF75212}"/>
  <tableColumns count="6">
    <tableColumn id="1" xr3:uid="{813BFBD7-4D20-42F1-8AC8-51793FAF0CCA}" name="Employee" dataDxfId="160" dataCellStyle="Normal 2"/>
    <tableColumn id="2" xr3:uid="{CD4F829B-4490-46C8-A105-5218C409479F}" name="Total Billed Hours" dataDxfId="159" dataCellStyle="Normal 2"/>
    <tableColumn id="3" xr3:uid="{088C56C5-E60E-428C-9EBD-E6FA1001E7FB}" name="Billed: Nondiscounted" dataDxfId="158" dataCellStyle="Normal 2"/>
    <tableColumn id="4" xr3:uid="{AE70A5BB-9787-48C7-B07F-7F2FE5E2ACFD}" name="Billed: Discounted" dataDxfId="157" dataCellStyle="Normal 2"/>
    <tableColumn id="5" xr3:uid="{1920851E-2054-4F30-AF90-340703E02D04}" name="Unbilled &amp; Draft" dataDxfId="156" dataCellStyle="Normal 2"/>
    <tableColumn id="6" xr3:uid="{7DFEC238-76FF-45F6-93DA-6BBECC52AFA2}" name="Realization Rate" dataDxfId="155" dataCellStyle="Percent 2"/>
  </tableColumns>
  <tableStyleInfo name="TableStyleMedium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8337E6E-572D-477D-8ABB-5C5E19192939}" name="Table1622" displayName="Table1622" ref="B67:G78" totalsRowShown="0" headerRowDxfId="154" dataDxfId="152" headerRowBorderDxfId="153" tableBorderDxfId="151" headerRowCellStyle="Normal 2" dataCellStyle="Normal 2">
  <autoFilter ref="B67:G78" xr:uid="{B8337E6E-572D-477D-8ABB-5C5E19192939}"/>
  <tableColumns count="6">
    <tableColumn id="1" xr3:uid="{D2AB8CC0-A7AD-4393-A1F5-1590321921E1}" name="Employee" dataDxfId="150" dataCellStyle="Normal 2"/>
    <tableColumn id="2" xr3:uid="{77AAAA9C-2B44-4F55-AD65-D852371EC341}" name="Total Billed Hours" dataDxfId="149" dataCellStyle="Normal 2"/>
    <tableColumn id="3" xr3:uid="{AC72B32A-0483-43A0-8FF5-9FB1F601A9A6}" name="Billed: Nondiscounted" dataDxfId="148" dataCellStyle="Normal 2"/>
    <tableColumn id="4" xr3:uid="{A87F4108-1D45-43A9-AF69-5F3C8662DFDF}" name="Billed: Discounted" dataDxfId="147" dataCellStyle="Normal 2"/>
    <tableColumn id="5" xr3:uid="{1467C9DC-98BB-47D0-B9A8-09A326A904D7}" name="Unbilled &amp; Draft" dataDxfId="146" dataCellStyle="Normal 2"/>
    <tableColumn id="6" xr3:uid="{A658FD4B-DB02-47A8-B63F-1ED704210E35}" name="Realization Rate" dataDxfId="145" dataCellStyle="Percent 2"/>
  </tableColumns>
  <tableStyleInfo name="TableStyleMedium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09CE62D-E119-43EF-AF1A-C55AFD299A9E}" name="Table1623" displayName="Table1623" ref="B80:G91" totalsRowShown="0" headerRowDxfId="144" dataDxfId="142" headerRowBorderDxfId="143" tableBorderDxfId="141" headerRowCellStyle="Normal 2" dataCellStyle="Normal 2">
  <autoFilter ref="B80:G91" xr:uid="{E09CE62D-E119-43EF-AF1A-C55AFD299A9E}"/>
  <tableColumns count="6">
    <tableColumn id="1" xr3:uid="{B7DE4620-5387-4B81-AAD2-1D996785D0DA}" name="Employee" dataDxfId="140" dataCellStyle="Normal 2"/>
    <tableColumn id="2" xr3:uid="{B9623309-2F93-4D74-AA68-C27A603822D7}" name="Total Billed Hours" dataDxfId="139" dataCellStyle="Normal 2"/>
    <tableColumn id="3" xr3:uid="{E1B9C25D-39D4-4BF0-9772-ECA05DEDDE1F}" name="Billed: Nondiscounted" dataDxfId="138" dataCellStyle="Normal 2"/>
    <tableColumn id="4" xr3:uid="{95D15B47-6C2E-44A3-95E9-05ADDC0AD945}" name="Billed: Discounted" dataDxfId="137" dataCellStyle="Normal 2"/>
    <tableColumn id="5" xr3:uid="{D5820FF8-2A0B-4E98-AABD-04669546DADC}" name="Unbilled &amp; Draft" dataDxfId="136" dataCellStyle="Normal 2"/>
    <tableColumn id="6" xr3:uid="{3A4D7241-ED84-40B3-BB8B-B1818505E514}" name="Realization Rate" dataDxfId="135" dataCellStyle="Percent 2"/>
  </tableColumns>
  <tableStyleInfo name="TableStyleMedium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191BB1E-C807-4E73-B560-4E6D226F9AEE}" name="Table1624" displayName="Table1624" ref="B93:G104" totalsRowShown="0" headerRowDxfId="134" dataDxfId="132" headerRowBorderDxfId="133" tableBorderDxfId="131" headerRowCellStyle="Normal 2" dataCellStyle="Normal 2">
  <autoFilter ref="B93:G104" xr:uid="{D191BB1E-C807-4E73-B560-4E6D226F9AEE}"/>
  <tableColumns count="6">
    <tableColumn id="1" xr3:uid="{0CA6B257-E314-4192-A71D-E963A103C5A9}" name="Employee" dataDxfId="130" dataCellStyle="Normal 2"/>
    <tableColumn id="2" xr3:uid="{B11A9334-8FBB-483C-ADF7-B42FC0DE78E4}" name="Total Billed Hours" dataDxfId="129" dataCellStyle="Normal 2"/>
    <tableColumn id="3" xr3:uid="{9FFEC975-553E-4227-8F7F-6B9A4F9FFB16}" name="Billed: Nondiscounted" dataDxfId="128" dataCellStyle="Normal 2"/>
    <tableColumn id="4" xr3:uid="{EAC54461-A04D-46DC-8C24-0428E9CE285C}" name="Billed: Discounted" dataDxfId="127" dataCellStyle="Normal 2"/>
    <tableColumn id="5" xr3:uid="{70D22C76-8089-4851-BC97-01061B18B090}" name="Unbilled &amp; Draft" dataDxfId="126" dataCellStyle="Normal 2"/>
    <tableColumn id="6" xr3:uid="{B488D603-BEEA-415A-B0F6-8E99BC2801D0}" name="Realization Rate" dataDxfId="125" dataCellStyle="Percent 2"/>
  </tableColumns>
  <tableStyleInfo name="TableStyleMedium1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39350BE-D5FE-4A70-9A82-2B0EDD125E05}" name="Table1625" displayName="Table1625" ref="B106:G117" totalsRowShown="0" headerRowDxfId="124" dataDxfId="122" headerRowBorderDxfId="123" tableBorderDxfId="121" headerRowCellStyle="Normal 2" dataCellStyle="Normal 2">
  <autoFilter ref="B106:G117" xr:uid="{239350BE-D5FE-4A70-9A82-2B0EDD125E05}"/>
  <tableColumns count="6">
    <tableColumn id="1" xr3:uid="{44D04024-198E-4A98-81C1-679F056AEB52}" name="Employee" dataDxfId="120" dataCellStyle="Normal 2"/>
    <tableColumn id="2" xr3:uid="{17EF5DF4-DB10-45B9-AF51-52E36F24F4B7}" name="Total Billed Hours" dataDxfId="119" dataCellStyle="Normal 2"/>
    <tableColumn id="3" xr3:uid="{8565A807-DCD7-4F9D-B1D2-1D46A7E53985}" name="Billed: Nondiscounted" dataDxfId="118" dataCellStyle="Normal 2"/>
    <tableColumn id="4" xr3:uid="{9D902118-7671-4135-861C-88C14CDA0316}" name="Billed: Discounted" dataDxfId="117" dataCellStyle="Normal 2"/>
    <tableColumn id="5" xr3:uid="{A8C96515-9207-4132-B89C-46CA157AA0BB}" name="Unbilled &amp; Draft" dataDxfId="116" dataCellStyle="Normal 2"/>
    <tableColumn id="6" xr3:uid="{7F3C9C94-C6E7-42F0-AA7E-98B0B7511900}" name="Realization Rate" dataDxfId="115" dataCellStyle="Percent 2"/>
  </tableColumns>
  <tableStyleInfo name="TableStyleMedium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83E1010-6FD7-43DC-9093-CA108B240E81}" name="Table1626" displayName="Table1626" ref="B119:G130" totalsRowShown="0" headerRowDxfId="114" dataDxfId="112" headerRowBorderDxfId="113" tableBorderDxfId="111" headerRowCellStyle="Normal 2" dataCellStyle="Normal 2">
  <autoFilter ref="B119:G130" xr:uid="{383E1010-6FD7-43DC-9093-CA108B240E81}"/>
  <tableColumns count="6">
    <tableColumn id="1" xr3:uid="{A9F72B53-F490-4C50-8AD6-5F6E7CB84ECA}" name="Employee" dataDxfId="110" dataCellStyle="Normal 2"/>
    <tableColumn id="2" xr3:uid="{7872C13F-AF3F-49B3-8073-C6D53FFA8709}" name="Total Billed Hours" dataDxfId="109" dataCellStyle="Normal 2"/>
    <tableColumn id="3" xr3:uid="{4A2A62A7-125C-423F-97B1-1CD68B026800}" name="Billed: Nondiscounted" dataDxfId="108" dataCellStyle="Normal 2"/>
    <tableColumn id="4" xr3:uid="{BF192BE1-E901-4820-9EE1-B7DB7EF28831}" name="Billed: Discounted" dataDxfId="107" dataCellStyle="Normal 2"/>
    <tableColumn id="5" xr3:uid="{970F27C5-7254-45B8-8D86-FD79FA06CD2D}" name="Unbilled &amp; Draft" dataDxfId="106" dataCellStyle="Normal 2"/>
    <tableColumn id="6" xr3:uid="{4451C71B-4E29-4B52-953A-36F70FBE18CE}" name="Realization Rate" dataDxfId="105" dataCellStyle="Percent 2"/>
  </tableColumns>
  <tableStyleInfo name="TableStyleMedium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E58734A-AFF3-40A3-AE0E-0C989CA0E613}" name="Table1627" displayName="Table1627" ref="B132:G143" totalsRowShown="0" headerRowDxfId="104" dataDxfId="102" headerRowBorderDxfId="103" tableBorderDxfId="101" headerRowCellStyle="Normal 2" dataCellStyle="Normal 2">
  <autoFilter ref="B132:G143" xr:uid="{DE58734A-AFF3-40A3-AE0E-0C989CA0E613}"/>
  <tableColumns count="6">
    <tableColumn id="1" xr3:uid="{7C826165-24DA-49A7-AE0B-FD25624FFE50}" name="Employee" dataDxfId="100" dataCellStyle="Normal 2"/>
    <tableColumn id="2" xr3:uid="{6B552D5C-4AD9-4AD2-8B1C-BE87642447EB}" name="Total Billed Hours" dataDxfId="99" dataCellStyle="Normal 2"/>
    <tableColumn id="3" xr3:uid="{E758DAEF-F2AE-4FDA-AA93-BE5EFFB3004D}" name="Billed: Nondiscounted" dataDxfId="98" dataCellStyle="Normal 2"/>
    <tableColumn id="4" xr3:uid="{A1489D4D-2150-4893-8CB2-441DD2DD3C74}" name="Billed: Discounted" dataDxfId="97" dataCellStyle="Normal 2"/>
    <tableColumn id="5" xr3:uid="{47F65620-8F82-40A7-B397-0F30369344B8}" name="Unbilled &amp; Draft" dataDxfId="96" dataCellStyle="Normal 2"/>
    <tableColumn id="6" xr3:uid="{FB30C32D-A5AE-4375-8EC1-72824D2226A6}" name="Realization Rate" dataDxfId="95" dataCellStyle="Percent 2"/>
  </tableColumns>
  <tableStyleInfo name="TableStyleMedium1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284E4F4-21E8-4609-B342-208006D96148}" name="Table1628" displayName="Table1628" ref="B145:G156" totalsRowShown="0" headerRowDxfId="94" dataDxfId="92" headerRowBorderDxfId="93" tableBorderDxfId="91" headerRowCellStyle="Normal 2" dataCellStyle="Normal 2">
  <autoFilter ref="B145:G156" xr:uid="{4284E4F4-21E8-4609-B342-208006D96148}"/>
  <tableColumns count="6">
    <tableColumn id="1" xr3:uid="{1690B681-258F-453B-B940-6105CA2BA904}" name="Employee" dataDxfId="90" dataCellStyle="Normal 2"/>
    <tableColumn id="2" xr3:uid="{EBCA592E-26E3-463D-ADB8-66F41712EC41}" name="Total Billed Hours" dataDxfId="89" dataCellStyle="Normal 2"/>
    <tableColumn id="3" xr3:uid="{4D1D2069-FF2B-4DDB-A87D-D606C18593B5}" name="Billed: Nondiscounted" dataDxfId="88" dataCellStyle="Normal 2"/>
    <tableColumn id="4" xr3:uid="{FB839204-6B9E-4263-9E35-E8170CDDEDBC}" name="Billed: Discounted" dataDxfId="87" dataCellStyle="Normal 2"/>
    <tableColumn id="5" xr3:uid="{2BDDFEB3-4BE1-4B7E-A2DD-02233C9D3B77}" name="Unbilled &amp; Draft" dataDxfId="86" dataCellStyle="Normal 2"/>
    <tableColumn id="6" xr3:uid="{5F4B249D-67CA-4175-AF2D-378D3091A5B9}" name="Realization Rate" dataDxfId="85" dataCellStyle="Percent 2"/>
  </tableColumns>
  <tableStyleInfo name="TableStyleMedium10"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800718A-DDE0-4999-A5B1-BC4626C63EFD}" name="Table29" displayName="Table29" ref="B3:E14" totalsRowShown="0" headerRowDxfId="84" headerRowBorderDxfId="83" tableBorderDxfId="82" headerRowCellStyle="Normal 2">
  <autoFilter ref="B3:E14" xr:uid="{9800718A-DDE0-4999-A5B1-BC4626C63EFD}"/>
  <tableColumns count="4">
    <tableColumn id="1" xr3:uid="{777D9B88-D565-4ADC-A2C9-399AA4CC5BE3}" name="Employee" dataDxfId="81" dataCellStyle="Normal 2"/>
    <tableColumn id="2" xr3:uid="{24AB43D9-2DCC-4EE7-BA00-EAE9A1C70345}" name="Collected" dataDxfId="80" dataCellStyle="Normal 2"/>
    <tableColumn id="3" xr3:uid="{AFA29CF4-4F93-424B-A520-1B9CA90A6C9C}" name="Uncollected" dataDxfId="79" dataCellStyle="Normal 2"/>
    <tableColumn id="4" xr3:uid="{0FC84F1B-C937-4B19-8529-31A89309C6D8}" name="Collection Rate" dataDxfId="78" dataCellStyle="Percent 2"/>
  </tableColumns>
  <tableStyleInfo name="TableStyleMedium1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E7EAD1D-5466-4280-BDC5-B78D3207F45B}" name="Table2931" displayName="Table2931" ref="B16:E27" totalsRowShown="0" headerRowDxfId="77" headerRowBorderDxfId="76" tableBorderDxfId="75" headerRowCellStyle="Normal 2">
  <autoFilter ref="B16:E27" xr:uid="{5E7EAD1D-5466-4280-BDC5-B78D3207F45B}"/>
  <tableColumns count="4">
    <tableColumn id="1" xr3:uid="{F5085BA0-7196-4659-9EAF-B7892F9C0253}" name="Employee" dataDxfId="74" dataCellStyle="Normal 2"/>
    <tableColumn id="2" xr3:uid="{E0EE0B31-D0E9-446E-9BCC-BF2834D0B87E}" name="Collected" dataDxfId="73" dataCellStyle="Normal 2"/>
    <tableColumn id="3" xr3:uid="{B91C1D14-EAE6-466F-BFB0-A45BDCF99171}" name="Uncollected" dataDxfId="72" dataCellStyle="Normal 2"/>
    <tableColumn id="4" xr3:uid="{D1A5E3A7-4A8A-4A6E-A9C2-B1AC58C5C53A}" name="Collection Rate" dataDxfId="71" dataCellStyle="Percent 2"/>
  </tableColumns>
  <tableStyleInfo name="TableStyleMedium1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1B2D773-B671-4026-BFEA-E2C5ED87B0FA}" name="Table2932" displayName="Table2932" ref="B29:E40" totalsRowShown="0" headerRowDxfId="70" headerRowBorderDxfId="69" tableBorderDxfId="68" headerRowCellStyle="Normal 2">
  <autoFilter ref="B29:E40" xr:uid="{41B2D773-B671-4026-BFEA-E2C5ED87B0FA}"/>
  <tableColumns count="4">
    <tableColumn id="1" xr3:uid="{154459DB-E341-4841-BD49-DEC331FF0C21}" name="Employee" dataDxfId="67" dataCellStyle="Normal 2"/>
    <tableColumn id="2" xr3:uid="{2F304DD1-E3B4-4662-8C88-FF01718FD48D}" name="Collected" dataDxfId="66" dataCellStyle="Normal 2"/>
    <tableColumn id="3" xr3:uid="{0E83D34E-A62D-47CE-9258-98B93A32D00F}" name="Uncollected" dataDxfId="65" dataCellStyle="Normal 2"/>
    <tableColumn id="4" xr3:uid="{824DD9B8-0A8A-4587-BC43-EB4576A0F976}" name="Collection Rate" dataDxfId="64" dataCellStyle="Percent 2"/>
  </tableColumns>
  <tableStyleInfo name="TableStyleMedium1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E6BCC4A-8243-4064-9F4E-494988B49C6B}" name="Table2933" displayName="Table2933" ref="B42:E53" totalsRowShown="0" headerRowDxfId="63" headerRowBorderDxfId="62" tableBorderDxfId="61" headerRowCellStyle="Normal 2">
  <autoFilter ref="B42:E53" xr:uid="{CE6BCC4A-8243-4064-9F4E-494988B49C6B}"/>
  <tableColumns count="4">
    <tableColumn id="1" xr3:uid="{B86445CE-6724-4733-A8E1-122AD8E3C50C}" name="Employee" dataDxfId="60" dataCellStyle="Normal 2"/>
    <tableColumn id="2" xr3:uid="{D84E38B6-1480-471B-A600-22FCE53C3C43}" name="Collected" dataDxfId="59" dataCellStyle="Normal 2"/>
    <tableColumn id="3" xr3:uid="{CA0D7E20-F731-40FE-A93B-372D39064A29}" name="Uncollected" dataDxfId="58" dataCellStyle="Normal 2"/>
    <tableColumn id="4" xr3:uid="{362B8B68-9BA9-4B90-9222-D06C7D1E089D}" name="Collection Rate" dataDxfId="57" dataCellStyle="Percent 2"/>
  </tableColumns>
  <tableStyleInfo name="TableStyleMedium1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E8E45E1-6394-49CF-B11C-106B7F7CDE65}" name="Table2934" displayName="Table2934" ref="B55:E66" totalsRowShown="0" headerRowDxfId="56" headerRowBorderDxfId="55" tableBorderDxfId="54" headerRowCellStyle="Normal 2">
  <autoFilter ref="B55:E66" xr:uid="{FE8E45E1-6394-49CF-B11C-106B7F7CDE65}"/>
  <tableColumns count="4">
    <tableColumn id="1" xr3:uid="{16AFD828-6580-47EA-81CB-59A3003CFE40}" name="Employee" dataDxfId="53" dataCellStyle="Normal 2"/>
    <tableColumn id="2" xr3:uid="{99011DC9-F8DF-4849-A255-27DCB37EFE0E}" name="Collected" dataDxfId="52" dataCellStyle="Normal 2"/>
    <tableColumn id="3" xr3:uid="{BFDDE705-DDC4-4501-AE6A-E3E8B9346CD5}" name="Uncollected" dataDxfId="51" dataCellStyle="Normal 2"/>
    <tableColumn id="4" xr3:uid="{45A57BE5-CA2C-4FCF-A556-8A4C2E25CDF7}" name="Collection Rate" dataDxfId="50" dataCellStyle="Percent 2"/>
  </tableColumns>
  <tableStyleInfo name="TableStyleMedium1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04C86F6-5B41-4171-BF49-7B3151D613C3}" name="Table2935" displayName="Table2935" ref="B68:E79" totalsRowShown="0" headerRowDxfId="49" headerRowBorderDxfId="48" tableBorderDxfId="47" headerRowCellStyle="Normal 2">
  <autoFilter ref="B68:E79" xr:uid="{C04C86F6-5B41-4171-BF49-7B3151D613C3}"/>
  <tableColumns count="4">
    <tableColumn id="1" xr3:uid="{E62E1CCC-2EEE-4E0E-A62E-12FB7C7EBE1A}" name="Employee" dataDxfId="46" dataCellStyle="Normal 2"/>
    <tableColumn id="2" xr3:uid="{FEC1DDF6-43A8-4125-A649-B0B3D41F53DC}" name="Collected" dataDxfId="45" dataCellStyle="Normal 2"/>
    <tableColumn id="3" xr3:uid="{8DC2DF08-69A7-4425-A923-36490ED3EB80}" name="Uncollected" dataDxfId="44" dataCellStyle="Normal 2"/>
    <tableColumn id="4" xr3:uid="{BADAC3D8-80F0-413A-8DBC-A8672AC048FD}" name="Collection Rate" dataDxfId="43" dataCellStyle="Percent 2"/>
  </tableColumns>
  <tableStyleInfo name="TableStyleMedium1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ED437D6-547A-4A4A-B74C-E1290D7EA193}" name="Table2936" displayName="Table2936" ref="B81:E92" totalsRowShown="0" headerRowDxfId="42" headerRowBorderDxfId="41" tableBorderDxfId="40" headerRowCellStyle="Normal 2">
  <autoFilter ref="B81:E92" xr:uid="{EED437D6-547A-4A4A-B74C-E1290D7EA193}"/>
  <tableColumns count="4">
    <tableColumn id="1" xr3:uid="{54F25EEF-08CE-4843-BCE8-A008228EA2F2}" name="Employee" dataDxfId="39" dataCellStyle="Normal 2"/>
    <tableColumn id="2" xr3:uid="{4F17B715-7F7F-408F-9FD3-34EEF2FAA7E8}" name="Collected" dataDxfId="38" dataCellStyle="Normal 2"/>
    <tableColumn id="3" xr3:uid="{C7368EFA-57C1-4277-9088-6E2033C260C3}" name="Uncollected" dataDxfId="37" dataCellStyle="Normal 2"/>
    <tableColumn id="4" xr3:uid="{71B4E162-AC5C-4021-815E-9283479D7A7C}" name="Collection Rate" dataDxfId="36" dataCellStyle="Percent 2"/>
  </tableColumns>
  <tableStyleInfo name="TableStyleMedium1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56110B6-F742-45AA-AAB4-569710BA9C3B}" name="Table2937" displayName="Table2937" ref="B94:E105" totalsRowShown="0" headerRowDxfId="35" headerRowBorderDxfId="34" tableBorderDxfId="33" headerRowCellStyle="Normal 2">
  <autoFilter ref="B94:E105" xr:uid="{D56110B6-F742-45AA-AAB4-569710BA9C3B}"/>
  <tableColumns count="4">
    <tableColumn id="1" xr3:uid="{6E9062DD-D828-4978-A3EF-41D9BA4C16CA}" name="Employee" dataDxfId="32" dataCellStyle="Normal 2"/>
    <tableColumn id="2" xr3:uid="{A02314B8-1458-4A1B-BB1B-235D46236E20}" name="Collected" dataDxfId="31" dataCellStyle="Normal 2"/>
    <tableColumn id="3" xr3:uid="{B76FBBBE-AE42-4EE4-9C74-6530B9363CB6}" name="Uncollected" dataDxfId="30" dataCellStyle="Normal 2"/>
    <tableColumn id="4" xr3:uid="{01FA755E-751D-48D9-91E1-EFC138F44EF7}" name="Collection Rate" dataDxfId="29" dataCellStyle="Percent 2"/>
  </tableColumns>
  <tableStyleInfo name="TableStyleMedium1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38AA74B-C75D-460D-BD90-E709F9C32930}" name="Table2938" displayName="Table2938" ref="B107:E118" totalsRowShown="0" headerRowDxfId="28" headerRowBorderDxfId="27" tableBorderDxfId="26" headerRowCellStyle="Normal 2">
  <autoFilter ref="B107:E118" xr:uid="{138AA74B-C75D-460D-BD90-E709F9C32930}"/>
  <tableColumns count="4">
    <tableColumn id="1" xr3:uid="{89A11C16-65CA-4F98-9EA1-C91DF76D8531}" name="Employee" dataDxfId="25" dataCellStyle="Normal 2"/>
    <tableColumn id="2" xr3:uid="{CCC7AEF8-A358-480B-81A9-6ABDD98B9F8E}" name="Collected" dataDxfId="24" dataCellStyle="Normal 2"/>
    <tableColumn id="3" xr3:uid="{0D836704-36A9-4E65-A74C-B5C90520E6D4}" name="Uncollected" dataDxfId="23" dataCellStyle="Normal 2"/>
    <tableColumn id="4" xr3:uid="{A1D6B9C3-4AA5-435E-8231-D8F0D05853DA}" name="Collection Rate" dataDxfId="22" dataCellStyle="Percent 2"/>
  </tableColumns>
  <tableStyleInfo name="TableStyleMedium1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E6D4FD3-35DF-42AC-B5B1-26810C9C7D3B}" name="Table2939" displayName="Table2939" ref="B120:E131" totalsRowShown="0" headerRowDxfId="21" headerRowBorderDxfId="20" tableBorderDxfId="19" headerRowCellStyle="Normal 2">
  <autoFilter ref="B120:E131" xr:uid="{9E6D4FD3-35DF-42AC-B5B1-26810C9C7D3B}"/>
  <tableColumns count="4">
    <tableColumn id="1" xr3:uid="{5B04D453-7360-463C-8848-CD87514DE000}" name="Employee" dataDxfId="18" dataCellStyle="Normal 2"/>
    <tableColumn id="2" xr3:uid="{01347B36-FDCC-4F83-96E7-2B0DAEF44908}" name="Collected" dataDxfId="17" dataCellStyle="Normal 2"/>
    <tableColumn id="3" xr3:uid="{B3B37C35-59D5-4541-9819-E6624B7D1AD8}" name="Uncollected" dataDxfId="16" dataCellStyle="Normal 2"/>
    <tableColumn id="4" xr3:uid="{2B3C1F10-0EA9-41B3-8B03-29EBCDF448DF}" name="Collection Rate" dataDxfId="15" dataCellStyle="Percent 2"/>
  </tableColumns>
  <tableStyleInfo name="TableStyleMedium1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A64D4A6-8508-4C85-B3FF-5518CDF7532F}" name="Table2940" displayName="Table2940" ref="B133:E144" totalsRowShown="0" headerRowDxfId="14" headerRowBorderDxfId="13" tableBorderDxfId="12" headerRowCellStyle="Normal 2">
  <autoFilter ref="B133:E144" xr:uid="{CA64D4A6-8508-4C85-B3FF-5518CDF7532F}"/>
  <tableColumns count="4">
    <tableColumn id="1" xr3:uid="{CE43346D-9112-4788-B5AC-361EE7143A22}" name="Employee" dataDxfId="11" dataCellStyle="Normal 2"/>
    <tableColumn id="2" xr3:uid="{666E9C1D-3C75-4C98-9923-2A5D5088A36A}" name="Collected" dataDxfId="10" dataCellStyle="Normal 2"/>
    <tableColumn id="3" xr3:uid="{8C22BE85-D439-4749-B31E-C03FFB2A74F6}" name="Uncollected" dataDxfId="9" dataCellStyle="Normal 2"/>
    <tableColumn id="4" xr3:uid="{7F83FFA8-730D-4F60-835E-1BA200A385E1}" name="Collection Rate" dataDxfId="8" dataCellStyle="Percent 2"/>
  </tableColumns>
  <tableStyleInfo name="TableStyleMedium1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D6AEF78-302D-4518-A2D5-F03DBCEB621B}" name="Table2941" displayName="Table2941" ref="B146:E157" totalsRowShown="0" headerRowDxfId="7" headerRowBorderDxfId="6" tableBorderDxfId="5" headerRowCellStyle="Normal 2">
  <autoFilter ref="B146:E157" xr:uid="{BD6AEF78-302D-4518-A2D5-F03DBCEB621B}"/>
  <tableColumns count="4">
    <tableColumn id="1" xr3:uid="{E6034DC7-5404-408B-B1FD-86DBDFE5B30B}" name="Employee" dataDxfId="4" dataCellStyle="Normal 2"/>
    <tableColumn id="2" xr3:uid="{55F93ADC-4546-414E-9801-C2B445BE2F2A}" name="Collected" dataDxfId="3" dataCellStyle="Normal 2"/>
    <tableColumn id="3" xr3:uid="{6C22BBA3-7789-4D91-BEAB-967C0F799520}" name="Uncollected" dataDxfId="2" dataCellStyle="Normal 2"/>
    <tableColumn id="4" xr3:uid="{568BF9F6-BD03-459E-A4A4-14F0D2621D0F}" name="Collection Rate" dataDxfId="1" dataCellStyle="Percent 2"/>
  </tableColumns>
  <tableStyleInfo name="TableStyleMedium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4.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2" Type="http://schemas.openxmlformats.org/officeDocument/2006/relationships/table" Target="../tables/table14.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12" Type="http://schemas.openxmlformats.org/officeDocument/2006/relationships/table" Target="../tables/table37.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11" Type="http://schemas.openxmlformats.org/officeDocument/2006/relationships/table" Target="../tables/table36.xml"/><Relationship Id="rId5" Type="http://schemas.openxmlformats.org/officeDocument/2006/relationships/table" Target="../tables/table30.xml"/><Relationship Id="rId10" Type="http://schemas.openxmlformats.org/officeDocument/2006/relationships/table" Target="../tables/table35.xml"/><Relationship Id="rId4" Type="http://schemas.openxmlformats.org/officeDocument/2006/relationships/table" Target="../tables/table29.xml"/><Relationship Id="rId9" Type="http://schemas.openxmlformats.org/officeDocument/2006/relationships/table" Target="../tables/table3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E22"/>
  <sheetViews>
    <sheetView workbookViewId="0">
      <selection activeCell="D11" sqref="D11"/>
    </sheetView>
  </sheetViews>
  <sheetFormatPr defaultRowHeight="15.75" x14ac:dyDescent="0.25"/>
  <cols>
    <col min="2" max="2" width="11.5" customWidth="1"/>
    <col min="3" max="3" width="3.75" customWidth="1"/>
    <col min="4" max="4" width="20.5" bestFit="1" customWidth="1"/>
    <col min="5" max="5" width="101.375" customWidth="1"/>
  </cols>
  <sheetData>
    <row r="2" spans="2:5" ht="47.25" x14ac:dyDescent="0.25">
      <c r="B2" s="368" t="s">
        <v>0</v>
      </c>
      <c r="C2" s="151">
        <v>1</v>
      </c>
      <c r="D2" s="152" t="s">
        <v>1</v>
      </c>
      <c r="E2" s="153" t="s">
        <v>2</v>
      </c>
    </row>
    <row r="3" spans="2:5" x14ac:dyDescent="0.25">
      <c r="B3" s="368"/>
      <c r="C3" s="151">
        <v>2</v>
      </c>
      <c r="D3" s="152" t="s">
        <v>3</v>
      </c>
      <c r="E3" s="152" t="s">
        <v>4</v>
      </c>
    </row>
    <row r="4" spans="2:5" x14ac:dyDescent="0.25">
      <c r="B4" s="368"/>
      <c r="C4" s="151">
        <v>3</v>
      </c>
      <c r="D4" s="152" t="s">
        <v>5</v>
      </c>
      <c r="E4" s="152" t="s">
        <v>6</v>
      </c>
    </row>
    <row r="5" spans="2:5" x14ac:dyDescent="0.25">
      <c r="B5" s="368"/>
      <c r="C5" s="151">
        <v>4</v>
      </c>
      <c r="D5" s="152" t="s">
        <v>7</v>
      </c>
      <c r="E5" s="152" t="s">
        <v>8</v>
      </c>
    </row>
    <row r="6" spans="2:5" x14ac:dyDescent="0.25">
      <c r="B6" s="368"/>
      <c r="C6" s="151">
        <v>5</v>
      </c>
      <c r="D6" s="152" t="s">
        <v>9</v>
      </c>
      <c r="E6" s="153" t="s">
        <v>10</v>
      </c>
    </row>
    <row r="7" spans="2:5" x14ac:dyDescent="0.25">
      <c r="B7" s="368"/>
      <c r="C7" s="151">
        <v>6</v>
      </c>
      <c r="D7" s="132" t="s">
        <v>11</v>
      </c>
      <c r="E7" s="154" t="s">
        <v>12</v>
      </c>
    </row>
    <row r="8" spans="2:5" x14ac:dyDescent="0.25">
      <c r="B8" s="368"/>
      <c r="C8" s="151">
        <v>7</v>
      </c>
      <c r="D8" s="132" t="s">
        <v>13</v>
      </c>
      <c r="E8" s="154" t="s">
        <v>14</v>
      </c>
    </row>
    <row r="9" spans="2:5" ht="31.5" x14ac:dyDescent="0.25">
      <c r="B9" s="368"/>
      <c r="C9" s="151">
        <v>8</v>
      </c>
      <c r="D9" s="132" t="s">
        <v>15</v>
      </c>
      <c r="E9" s="154" t="s">
        <v>16</v>
      </c>
    </row>
    <row r="10" spans="2:5" ht="31.5" x14ac:dyDescent="0.25">
      <c r="B10" s="368" t="s">
        <v>17</v>
      </c>
      <c r="C10" s="151">
        <v>9</v>
      </c>
      <c r="D10" s="132" t="s">
        <v>9</v>
      </c>
      <c r="E10" s="154" t="s">
        <v>18</v>
      </c>
    </row>
    <row r="11" spans="2:5" ht="31.5" x14ac:dyDescent="0.25">
      <c r="B11" s="368"/>
      <c r="C11" s="151">
        <v>10</v>
      </c>
      <c r="D11" s="132" t="s">
        <v>11</v>
      </c>
      <c r="E11" s="154" t="s">
        <v>18</v>
      </c>
    </row>
    <row r="12" spans="2:5" ht="31.5" x14ac:dyDescent="0.25">
      <c r="B12" s="368"/>
      <c r="C12" s="151">
        <v>11</v>
      </c>
      <c r="D12" s="132" t="s">
        <v>15</v>
      </c>
      <c r="E12" s="154" t="s">
        <v>19</v>
      </c>
    </row>
    <row r="13" spans="2:5" ht="31.5" x14ac:dyDescent="0.25">
      <c r="B13" s="150" t="s">
        <v>20</v>
      </c>
      <c r="C13" s="151">
        <v>12</v>
      </c>
      <c r="D13" s="132" t="s">
        <v>15</v>
      </c>
      <c r="E13" s="154" t="s">
        <v>21</v>
      </c>
    </row>
    <row r="15" spans="2:5" ht="47.25" x14ac:dyDescent="0.25">
      <c r="B15" s="368" t="s">
        <v>22</v>
      </c>
      <c r="C15" s="151">
        <v>1</v>
      </c>
      <c r="D15" s="132" t="s">
        <v>23</v>
      </c>
      <c r="E15" s="154" t="s">
        <v>24</v>
      </c>
    </row>
    <row r="16" spans="2:5" ht="47.25" x14ac:dyDescent="0.25">
      <c r="B16" s="368"/>
      <c r="C16" s="151">
        <v>2</v>
      </c>
      <c r="D16" s="132" t="s">
        <v>25</v>
      </c>
      <c r="E16" s="154" t="s">
        <v>26</v>
      </c>
    </row>
    <row r="17" spans="2:5" ht="47.25" x14ac:dyDescent="0.25">
      <c r="B17" s="368"/>
      <c r="C17" s="151">
        <v>3</v>
      </c>
      <c r="D17" s="132" t="s">
        <v>1</v>
      </c>
      <c r="E17" s="154" t="s">
        <v>27</v>
      </c>
    </row>
    <row r="18" spans="2:5" ht="31.5" x14ac:dyDescent="0.25">
      <c r="B18" s="368"/>
      <c r="C18" s="151">
        <v>4</v>
      </c>
      <c r="D18" s="132" t="s">
        <v>3</v>
      </c>
      <c r="E18" s="154" t="s">
        <v>28</v>
      </c>
    </row>
    <row r="19" spans="2:5" ht="31.5" x14ac:dyDescent="0.25">
      <c r="B19" s="368"/>
      <c r="C19" s="151">
        <v>5</v>
      </c>
      <c r="D19" s="132" t="s">
        <v>5</v>
      </c>
      <c r="E19" s="154" t="s">
        <v>29</v>
      </c>
    </row>
    <row r="20" spans="2:5" ht="31.5" x14ac:dyDescent="0.25">
      <c r="B20" s="368"/>
      <c r="C20" s="151">
        <v>6</v>
      </c>
      <c r="D20" s="132" t="s">
        <v>7</v>
      </c>
      <c r="E20" s="154" t="s">
        <v>30</v>
      </c>
    </row>
    <row r="22" spans="2:5" ht="47.25" x14ac:dyDescent="0.25">
      <c r="B22" s="155" t="s">
        <v>31</v>
      </c>
      <c r="C22" s="151">
        <v>1</v>
      </c>
      <c r="D22" s="132" t="s">
        <v>23</v>
      </c>
      <c r="E22" s="154" t="s">
        <v>32</v>
      </c>
    </row>
  </sheetData>
  <mergeCells count="3">
    <mergeCell ref="B2:B9"/>
    <mergeCell ref="B10:B12"/>
    <mergeCell ref="B15:B20"/>
  </mergeCells>
  <pageMargins left="0.7" right="0.7" top="0.75" bottom="0.75" header="0.3" footer="0.3"/>
  <pageSetup scale="77"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F921-AA27-4CC8-B44C-14F0BCA0436D}">
  <sheetPr>
    <tabColor rgb="FF00B050"/>
  </sheetPr>
  <dimension ref="A1:L20"/>
  <sheetViews>
    <sheetView zoomScale="120" zoomScaleNormal="120" workbookViewId="0">
      <selection activeCell="J10" sqref="J10"/>
    </sheetView>
  </sheetViews>
  <sheetFormatPr defaultRowHeight="15.75" x14ac:dyDescent="0.25"/>
  <cols>
    <col min="2" max="2" width="11.875" customWidth="1"/>
    <col min="3" max="3" width="9.25" customWidth="1"/>
    <col min="4" max="4" width="12.75" customWidth="1"/>
    <col min="5" max="5" width="9.375" customWidth="1"/>
    <col min="6" max="6" width="12.75" customWidth="1"/>
    <col min="7" max="7" width="9" customWidth="1"/>
    <col min="8" max="8" width="12.75" customWidth="1"/>
    <col min="9" max="9" width="14.5" customWidth="1"/>
    <col min="10" max="10" width="13.75" customWidth="1"/>
    <col min="11" max="11" width="11" customWidth="1"/>
    <col min="12" max="12" width="13.375" customWidth="1"/>
  </cols>
  <sheetData>
    <row r="1" spans="1:12" x14ac:dyDescent="0.25">
      <c r="A1" s="366" t="s">
        <v>204</v>
      </c>
      <c r="B1" s="366"/>
      <c r="C1" s="366"/>
      <c r="D1" s="366"/>
      <c r="E1" s="366"/>
      <c r="F1" s="366"/>
      <c r="G1" s="366"/>
      <c r="H1" s="366"/>
      <c r="I1" s="366"/>
      <c r="J1" s="366"/>
      <c r="K1" s="366"/>
      <c r="L1" s="1"/>
    </row>
    <row r="2" spans="1:12" ht="45" x14ac:dyDescent="0.25">
      <c r="A2" s="145" t="s">
        <v>33</v>
      </c>
      <c r="B2" s="108" t="s">
        <v>34</v>
      </c>
      <c r="C2" s="108" t="s">
        <v>35</v>
      </c>
      <c r="D2" s="108" t="s">
        <v>36</v>
      </c>
      <c r="E2" s="108" t="s">
        <v>37</v>
      </c>
      <c r="F2" s="108" t="s">
        <v>38</v>
      </c>
      <c r="G2" s="108" t="s">
        <v>39</v>
      </c>
      <c r="H2" s="108" t="s">
        <v>40</v>
      </c>
      <c r="I2" s="108" t="s">
        <v>41</v>
      </c>
      <c r="J2" s="108" t="s">
        <v>205</v>
      </c>
      <c r="K2" s="108" t="s">
        <v>206</v>
      </c>
      <c r="L2" s="108" t="s">
        <v>207</v>
      </c>
    </row>
    <row r="3" spans="1:12" x14ac:dyDescent="0.25">
      <c r="A3" s="109" t="s">
        <v>42</v>
      </c>
      <c r="B3" s="110">
        <f>47*5*8</f>
        <v>1880</v>
      </c>
      <c r="C3" s="156">
        <v>0.75</v>
      </c>
      <c r="D3" s="110">
        <f>B3*C3</f>
        <v>1410</v>
      </c>
      <c r="E3" s="156">
        <v>0.75</v>
      </c>
      <c r="F3" s="110">
        <f>D3*E3</f>
        <v>1057.5</v>
      </c>
      <c r="G3" s="156">
        <v>0.75</v>
      </c>
      <c r="H3" s="110">
        <f>F3*G3</f>
        <v>793.125</v>
      </c>
      <c r="I3" s="111">
        <v>550</v>
      </c>
      <c r="J3" s="112">
        <f>H3*I3</f>
        <v>436218.75</v>
      </c>
      <c r="K3" s="113">
        <v>464767.89</v>
      </c>
      <c r="L3" s="149">
        <f t="shared" ref="L3:L11" si="0">J3/12</f>
        <v>36351.5625</v>
      </c>
    </row>
    <row r="4" spans="1:12" x14ac:dyDescent="0.25">
      <c r="A4" s="109" t="s">
        <v>43</v>
      </c>
      <c r="B4" s="110">
        <f t="shared" ref="B4:B5" si="1">47*5*8</f>
        <v>1880</v>
      </c>
      <c r="C4" s="156">
        <v>0.75</v>
      </c>
      <c r="D4" s="110">
        <f t="shared" ref="D4:D12" si="2">B4*C4</f>
        <v>1410</v>
      </c>
      <c r="E4" s="156">
        <v>0.75</v>
      </c>
      <c r="F4" s="110">
        <f t="shared" ref="F4:F11" si="3">D4*E4</f>
        <v>1057.5</v>
      </c>
      <c r="G4" s="156">
        <v>0.75</v>
      </c>
      <c r="H4" s="110">
        <f t="shared" ref="H4:H11" si="4">F4*G4</f>
        <v>793.125</v>
      </c>
      <c r="I4" s="111">
        <v>525</v>
      </c>
      <c r="J4" s="112">
        <f t="shared" ref="J4:J11" si="5">H4*I4</f>
        <v>416390.625</v>
      </c>
      <c r="K4" s="113">
        <v>535349.12</v>
      </c>
      <c r="L4" s="149">
        <f t="shared" si="0"/>
        <v>34699.21875</v>
      </c>
    </row>
    <row r="5" spans="1:12" x14ac:dyDescent="0.25">
      <c r="A5" s="109" t="s">
        <v>44</v>
      </c>
      <c r="B5" s="110">
        <f t="shared" si="1"/>
        <v>1880</v>
      </c>
      <c r="C5" s="156">
        <v>0.75</v>
      </c>
      <c r="D5" s="110">
        <f t="shared" si="2"/>
        <v>1410</v>
      </c>
      <c r="E5" s="156">
        <v>0.75</v>
      </c>
      <c r="F5" s="110">
        <f t="shared" si="3"/>
        <v>1057.5</v>
      </c>
      <c r="G5" s="156">
        <v>0.75</v>
      </c>
      <c r="H5" s="110">
        <f t="shared" si="4"/>
        <v>793.125</v>
      </c>
      <c r="I5" s="111">
        <v>450</v>
      </c>
      <c r="J5" s="112">
        <f t="shared" si="5"/>
        <v>356906.25</v>
      </c>
      <c r="K5" s="113">
        <v>518269.34</v>
      </c>
      <c r="L5" s="149">
        <f t="shared" si="0"/>
        <v>29742.1875</v>
      </c>
    </row>
    <row r="6" spans="1:12" x14ac:dyDescent="0.25">
      <c r="A6" s="109" t="s">
        <v>47</v>
      </c>
      <c r="B6" s="110">
        <f>47*5*8</f>
        <v>1880</v>
      </c>
      <c r="C6" s="114">
        <v>0.8</v>
      </c>
      <c r="D6" s="110">
        <f t="shared" si="2"/>
        <v>1504</v>
      </c>
      <c r="E6" s="114">
        <v>0.8</v>
      </c>
      <c r="F6" s="110">
        <f>D6*E6</f>
        <v>1203.2</v>
      </c>
      <c r="G6" s="114">
        <v>0.8</v>
      </c>
      <c r="H6" s="110">
        <f>F6*G6</f>
        <v>962.56000000000006</v>
      </c>
      <c r="I6" s="111">
        <v>350</v>
      </c>
      <c r="J6" s="112">
        <f>H6*I6</f>
        <v>336896</v>
      </c>
      <c r="K6" s="113">
        <v>150481.68</v>
      </c>
      <c r="L6" s="149">
        <f t="shared" si="0"/>
        <v>28074.666666666668</v>
      </c>
    </row>
    <row r="7" spans="1:12" x14ac:dyDescent="0.25">
      <c r="A7" s="109" t="s">
        <v>85</v>
      </c>
      <c r="B7" s="110">
        <f>47*5*8</f>
        <v>1880</v>
      </c>
      <c r="C7" s="114">
        <v>0.8</v>
      </c>
      <c r="D7" s="110">
        <f t="shared" si="2"/>
        <v>1504</v>
      </c>
      <c r="E7" s="114">
        <v>0.8</v>
      </c>
      <c r="F7" s="110">
        <f>D7*E7</f>
        <v>1203.2</v>
      </c>
      <c r="G7" s="114">
        <v>0.8</v>
      </c>
      <c r="H7" s="110">
        <f>F7*G7</f>
        <v>962.56000000000006</v>
      </c>
      <c r="I7" s="111">
        <v>275</v>
      </c>
      <c r="J7" s="112">
        <f>H7*I7</f>
        <v>264704</v>
      </c>
      <c r="K7" s="113">
        <v>59045.2</v>
      </c>
      <c r="L7" s="149">
        <f>J7/12</f>
        <v>22058.666666666668</v>
      </c>
    </row>
    <row r="8" spans="1:12" x14ac:dyDescent="0.25">
      <c r="A8" s="109" t="s">
        <v>87</v>
      </c>
      <c r="B8" s="110">
        <f>47*5*8</f>
        <v>1880</v>
      </c>
      <c r="C8" s="114">
        <v>0.8</v>
      </c>
      <c r="D8" s="110">
        <f t="shared" si="2"/>
        <v>1504</v>
      </c>
      <c r="E8" s="114">
        <v>0.8</v>
      </c>
      <c r="F8" s="110">
        <f>D8*E8</f>
        <v>1203.2</v>
      </c>
      <c r="G8" s="114">
        <v>0.8</v>
      </c>
      <c r="H8" s="110">
        <f>F8*G8</f>
        <v>962.56000000000006</v>
      </c>
      <c r="I8" s="111">
        <v>375</v>
      </c>
      <c r="J8" s="112">
        <f>H8*I8</f>
        <v>360960</v>
      </c>
      <c r="K8" s="113">
        <v>27535.14</v>
      </c>
      <c r="L8" s="149">
        <f>J8/12</f>
        <v>30080</v>
      </c>
    </row>
    <row r="9" spans="1:12" x14ac:dyDescent="0.25">
      <c r="A9" s="109" t="s">
        <v>199</v>
      </c>
      <c r="B9" s="110">
        <v>1576</v>
      </c>
      <c r="C9" s="156">
        <v>0.8</v>
      </c>
      <c r="D9" s="110">
        <f t="shared" si="2"/>
        <v>1260.8000000000002</v>
      </c>
      <c r="E9" s="156">
        <v>0.8</v>
      </c>
      <c r="F9" s="110">
        <f t="shared" si="3"/>
        <v>1008.6400000000002</v>
      </c>
      <c r="G9" s="156">
        <v>0.8</v>
      </c>
      <c r="H9" s="110">
        <f t="shared" si="4"/>
        <v>806.91200000000026</v>
      </c>
      <c r="I9" s="111">
        <v>275</v>
      </c>
      <c r="J9" s="348">
        <f>H9*I9</f>
        <v>221900.80000000008</v>
      </c>
      <c r="K9" s="350" t="s">
        <v>208</v>
      </c>
      <c r="L9" s="349">
        <f>J9/10</f>
        <v>22190.080000000009</v>
      </c>
    </row>
    <row r="10" spans="1:12" x14ac:dyDescent="0.25">
      <c r="A10" s="109" t="s">
        <v>49</v>
      </c>
      <c r="B10" s="157">
        <f>47*5*8</f>
        <v>1880</v>
      </c>
      <c r="C10" s="156">
        <v>0.75</v>
      </c>
      <c r="D10" s="110">
        <f t="shared" si="2"/>
        <v>1410</v>
      </c>
      <c r="E10" s="156">
        <v>0.72</v>
      </c>
      <c r="F10" s="157">
        <f>D10*E10</f>
        <v>1015.1999999999999</v>
      </c>
      <c r="G10" s="156">
        <v>0.85</v>
      </c>
      <c r="H10" s="157">
        <f>F10*G10</f>
        <v>862.92</v>
      </c>
      <c r="I10" s="158">
        <v>195</v>
      </c>
      <c r="J10" s="112">
        <f>H10*I10</f>
        <v>168269.4</v>
      </c>
      <c r="K10" s="113">
        <v>111520.99</v>
      </c>
      <c r="L10" s="149">
        <f t="shared" si="0"/>
        <v>14022.449999999999</v>
      </c>
    </row>
    <row r="11" spans="1:12" x14ac:dyDescent="0.25">
      <c r="A11" s="109" t="s">
        <v>48</v>
      </c>
      <c r="B11" s="110">
        <f>47*5*8</f>
        <v>1880</v>
      </c>
      <c r="C11" s="156">
        <v>0.75</v>
      </c>
      <c r="D11" s="110">
        <f t="shared" si="2"/>
        <v>1410</v>
      </c>
      <c r="E11" s="156">
        <v>0.72</v>
      </c>
      <c r="F11" s="110">
        <f t="shared" si="3"/>
        <v>1015.1999999999999</v>
      </c>
      <c r="G11" s="156">
        <v>0.85</v>
      </c>
      <c r="H11" s="110">
        <f t="shared" si="4"/>
        <v>862.92</v>
      </c>
      <c r="I11" s="111">
        <v>195</v>
      </c>
      <c r="J11" s="112">
        <f t="shared" si="5"/>
        <v>168269.4</v>
      </c>
      <c r="K11" s="113">
        <v>123562.49</v>
      </c>
      <c r="L11" s="149">
        <f t="shared" si="0"/>
        <v>14022.449999999999</v>
      </c>
    </row>
    <row r="12" spans="1:12" ht="16.5" thickBot="1" x14ac:dyDescent="0.3">
      <c r="A12" s="336" t="s">
        <v>50</v>
      </c>
      <c r="B12" s="337">
        <f>47*5*8</f>
        <v>1880</v>
      </c>
      <c r="C12" s="338">
        <v>0.75</v>
      </c>
      <c r="D12" s="110">
        <f t="shared" si="2"/>
        <v>1410</v>
      </c>
      <c r="E12" s="338">
        <v>0.72</v>
      </c>
      <c r="F12" s="337">
        <f>D12*E12</f>
        <v>1015.1999999999999</v>
      </c>
      <c r="G12" s="338">
        <v>0.85</v>
      </c>
      <c r="H12" s="337">
        <f>F12*G12</f>
        <v>862.92</v>
      </c>
      <c r="I12" s="339">
        <v>195</v>
      </c>
      <c r="J12" s="340">
        <f>H12*I12</f>
        <v>168269.4</v>
      </c>
      <c r="K12" s="341">
        <v>158443.57</v>
      </c>
      <c r="L12" s="149">
        <f>J12/12</f>
        <v>14022.449999999999</v>
      </c>
    </row>
    <row r="13" spans="1:12" ht="16.5" thickTop="1" x14ac:dyDescent="0.25">
      <c r="A13" s="342" t="s">
        <v>53</v>
      </c>
      <c r="B13" s="343">
        <f>SUBTOTAL(109,Table10123[Available
Hours])</f>
        <v>18496</v>
      </c>
      <c r="C13" s="344"/>
      <c r="D13" s="343">
        <f>SUBTOTAL(109,Table10123[Total
Billed Hours])</f>
        <v>14232.8</v>
      </c>
      <c r="E13" s="344"/>
      <c r="F13" s="343">
        <f>SUBTOTAL(109,Table10123[Billed
After Discounts])</f>
        <v>10836.340000000002</v>
      </c>
      <c r="G13" s="344"/>
      <c r="H13" s="343">
        <f>SUBTOTAL(109,Table10123[Billed Hours
Collected])</f>
        <v>8662.7270000000008</v>
      </c>
      <c r="I13" s="344"/>
      <c r="J13" s="345">
        <f>SUBTOTAL(109,Table10123[2026
Collection Goal])</f>
        <v>2898784.625</v>
      </c>
      <c r="K13" s="346">
        <f>SUBTOTAL(109,Table10123[2025
Collections])</f>
        <v>2148975.42</v>
      </c>
      <c r="L13" s="347"/>
    </row>
    <row r="14" spans="1:12" x14ac:dyDescent="0.25">
      <c r="I14" s="116"/>
      <c r="J14" s="117"/>
    </row>
    <row r="15" spans="1:12" x14ac:dyDescent="0.25">
      <c r="J15" s="115"/>
    </row>
    <row r="16" spans="1:12" x14ac:dyDescent="0.25">
      <c r="A16" t="s">
        <v>54</v>
      </c>
    </row>
    <row r="17" spans="1:12" x14ac:dyDescent="0.25">
      <c r="A17" t="s">
        <v>55</v>
      </c>
      <c r="J17" s="18"/>
    </row>
    <row r="18" spans="1:12" x14ac:dyDescent="0.25">
      <c r="A18" t="s">
        <v>56</v>
      </c>
      <c r="J18" s="18"/>
    </row>
    <row r="19" spans="1:12" s="31" customFormat="1" x14ac:dyDescent="0.25">
      <c r="A19" s="31" t="s">
        <v>57</v>
      </c>
      <c r="J19" s="118"/>
      <c r="K19" s="367"/>
      <c r="L19" s="367"/>
    </row>
    <row r="20" spans="1:12" ht="43.15" customHeight="1" x14ac:dyDescent="0.25"/>
  </sheetData>
  <mergeCells count="2">
    <mergeCell ref="A1:K1"/>
    <mergeCell ref="K19:L19"/>
  </mergeCells>
  <phoneticPr fontId="37" type="noConversion"/>
  <pageMargins left="0.7" right="0.7" top="0.75" bottom="0.75" header="0.3" footer="0.3"/>
  <pageSetup orientation="portrait" verticalDpi="1200" r:id="rId1"/>
  <ignoredErrors>
    <ignoredError sqref="B9 L9" calculatedColumn="1"/>
  </ignoredErrors>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125"/>
  <sheetViews>
    <sheetView tabSelected="1" zoomScale="110" zoomScaleNormal="110" workbookViewId="0">
      <pane xSplit="3" ySplit="4" topLeftCell="K71" activePane="bottomRight" state="frozen"/>
      <selection pane="topRight" activeCell="D1" sqref="D1"/>
      <selection pane="bottomLeft" activeCell="A5" sqref="A5"/>
      <selection pane="bottomRight" activeCell="T74" sqref="T74"/>
    </sheetView>
  </sheetViews>
  <sheetFormatPr defaultColWidth="11.125" defaultRowHeight="15" x14ac:dyDescent="0.25"/>
  <cols>
    <col min="1" max="1" width="3.375" style="2" customWidth="1"/>
    <col min="2" max="2" width="4.125" style="2" customWidth="1"/>
    <col min="3" max="3" width="5.375" style="1" customWidth="1"/>
    <col min="4" max="4" width="6.75" style="1" customWidth="1"/>
    <col min="5" max="5" width="8.125" style="1" customWidth="1"/>
    <col min="6" max="7" width="6.25" style="1" customWidth="1"/>
    <col min="8" max="8" width="10.125" style="1" customWidth="1"/>
    <col min="9" max="9" width="7.875" style="2" customWidth="1"/>
    <col min="10" max="10" width="8.75" style="2" customWidth="1"/>
    <col min="11" max="14" width="12.5" style="2" customWidth="1"/>
    <col min="15" max="15" width="12.5" style="45" customWidth="1"/>
    <col min="16" max="16" width="1" style="4" customWidth="1"/>
    <col min="17" max="17" width="10.75" style="2" customWidth="1"/>
    <col min="18" max="18" width="13.25" style="2" customWidth="1"/>
    <col min="19" max="19" width="14.375" style="2" customWidth="1"/>
    <col min="20" max="20" width="14.375" style="45" customWidth="1"/>
    <col min="21" max="21" width="1.375" style="2" customWidth="1"/>
    <col min="22" max="22" width="16.5" style="2" bestFit="1" customWidth="1"/>
    <col min="23" max="23" width="11.125" style="2"/>
    <col min="24" max="24" width="12" style="2" bestFit="1" customWidth="1"/>
    <col min="25" max="16384" width="11.125" style="2"/>
  </cols>
  <sheetData>
    <row r="1" spans="2:23" ht="3" customHeight="1" thickBot="1" x14ac:dyDescent="0.3">
      <c r="B1" s="159"/>
      <c r="I1" s="159"/>
      <c r="J1" s="159"/>
      <c r="K1" s="159"/>
      <c r="L1" s="159"/>
      <c r="M1" s="159"/>
      <c r="N1" s="159"/>
      <c r="P1" s="160"/>
      <c r="Q1" s="159"/>
      <c r="R1" s="159"/>
      <c r="S1" s="159"/>
      <c r="U1" s="159"/>
      <c r="V1" s="159"/>
      <c r="W1" s="159"/>
    </row>
    <row r="2" spans="2:23" s="317" customFormat="1" ht="17.100000000000001" customHeight="1" thickTop="1" x14ac:dyDescent="0.25">
      <c r="B2" s="313"/>
      <c r="C2" s="314"/>
      <c r="D2" s="376" t="s">
        <v>58</v>
      </c>
      <c r="E2" s="377"/>
      <c r="F2" s="377"/>
      <c r="G2" s="377"/>
      <c r="H2" s="377"/>
      <c r="I2" s="377"/>
      <c r="J2" s="377"/>
      <c r="K2" s="377"/>
      <c r="L2" s="377"/>
      <c r="M2" s="377"/>
      <c r="N2" s="377"/>
      <c r="O2" s="378"/>
      <c r="P2" s="315"/>
      <c r="Q2" s="372" t="s">
        <v>59</v>
      </c>
      <c r="R2" s="373"/>
      <c r="S2" s="373"/>
      <c r="T2" s="374"/>
      <c r="U2" s="40"/>
      <c r="V2" s="316" t="s">
        <v>60</v>
      </c>
      <c r="W2" s="375"/>
    </row>
    <row r="3" spans="2:23" s="3" customFormat="1" ht="45" customHeight="1" thickBot="1" x14ac:dyDescent="0.3">
      <c r="B3" s="161"/>
      <c r="C3" s="54"/>
      <c r="D3" s="162" t="s">
        <v>61</v>
      </c>
      <c r="E3" s="163" t="s">
        <v>3</v>
      </c>
      <c r="F3" s="164" t="s">
        <v>5</v>
      </c>
      <c r="G3" s="163" t="s">
        <v>7</v>
      </c>
      <c r="H3" s="163" t="s">
        <v>62</v>
      </c>
      <c r="I3" s="48" t="s">
        <v>9</v>
      </c>
      <c r="J3" s="49" t="s">
        <v>63</v>
      </c>
      <c r="K3" s="48" t="s">
        <v>64</v>
      </c>
      <c r="L3" s="50" t="s">
        <v>200</v>
      </c>
      <c r="M3" s="51" t="s">
        <v>201</v>
      </c>
      <c r="N3" s="52" t="s">
        <v>65</v>
      </c>
      <c r="O3" s="53" t="s">
        <v>66</v>
      </c>
      <c r="P3" s="47"/>
      <c r="Q3" s="165" t="s">
        <v>9</v>
      </c>
      <c r="R3" s="166" t="s">
        <v>11</v>
      </c>
      <c r="S3" s="166" t="s">
        <v>65</v>
      </c>
      <c r="T3" s="167" t="s">
        <v>66</v>
      </c>
      <c r="U3" s="41"/>
      <c r="V3" s="168" t="s">
        <v>15</v>
      </c>
      <c r="W3" s="375"/>
    </row>
    <row r="4" spans="2:23" ht="8.25" customHeight="1" thickTop="1" thickBot="1" x14ac:dyDescent="0.3">
      <c r="B4" s="159"/>
      <c r="C4" s="159"/>
      <c r="D4" s="159"/>
      <c r="E4" s="159"/>
      <c r="F4" s="159"/>
      <c r="G4" s="159"/>
      <c r="H4" s="159"/>
      <c r="I4" s="159"/>
      <c r="J4" s="159"/>
      <c r="K4" s="159"/>
      <c r="L4" s="159"/>
      <c r="M4" s="159"/>
      <c r="N4" s="159"/>
      <c r="P4" s="159"/>
      <c r="Q4" s="159"/>
      <c r="R4" s="169"/>
      <c r="S4" s="159"/>
      <c r="U4" s="159"/>
      <c r="V4" s="159"/>
      <c r="W4" s="159"/>
    </row>
    <row r="5" spans="2:23" ht="15" customHeight="1" thickTop="1" x14ac:dyDescent="0.25">
      <c r="B5" s="369" t="s">
        <v>67</v>
      </c>
      <c r="C5" s="170" t="s">
        <v>42</v>
      </c>
      <c r="D5" s="311">
        <v>2.8</v>
      </c>
      <c r="E5" s="171">
        <v>14</v>
      </c>
      <c r="F5" s="171">
        <v>0</v>
      </c>
      <c r="G5" s="171">
        <v>43.6</v>
      </c>
      <c r="H5" s="330">
        <f t="shared" ref="H5:H31" si="0">SUM(D5:G5)</f>
        <v>60.400000000000006</v>
      </c>
      <c r="I5" s="330">
        <v>92.4</v>
      </c>
      <c r="J5" s="327">
        <f>H5+I5</f>
        <v>152.80000000000001</v>
      </c>
      <c r="K5" s="172">
        <v>38966.480000000003</v>
      </c>
      <c r="L5" s="62">
        <v>351.8</v>
      </c>
      <c r="M5" s="172">
        <v>2813.52</v>
      </c>
      <c r="N5" s="173">
        <v>29172.05</v>
      </c>
      <c r="O5" s="333">
        <f t="shared" ref="O5:O10" si="1">O97/12</f>
        <v>36351.583333333336</v>
      </c>
      <c r="P5" s="21"/>
      <c r="Q5" s="174">
        <v>303</v>
      </c>
      <c r="R5" s="175">
        <v>98551</v>
      </c>
      <c r="S5" s="176">
        <v>91416.28</v>
      </c>
      <c r="T5" s="177">
        <f>O5+O8+(O9/3)+O15</f>
        <v>85801.555555555562</v>
      </c>
      <c r="U5" s="178"/>
      <c r="V5" s="179">
        <v>94850.28</v>
      </c>
      <c r="W5" s="180"/>
    </row>
    <row r="6" spans="2:23" ht="15" customHeight="1" x14ac:dyDescent="0.25">
      <c r="B6" s="370"/>
      <c r="C6" s="5" t="s">
        <v>43</v>
      </c>
      <c r="D6" s="181">
        <v>1.4</v>
      </c>
      <c r="E6" s="181">
        <v>11</v>
      </c>
      <c r="F6" s="181">
        <v>0</v>
      </c>
      <c r="G6" s="205">
        <v>24</v>
      </c>
      <c r="H6" s="332">
        <f t="shared" si="0"/>
        <v>36.4</v>
      </c>
      <c r="I6" s="328">
        <v>105.2</v>
      </c>
      <c r="J6" s="328">
        <f t="shared" ref="J6:J31" si="2">H6+I6</f>
        <v>141.6</v>
      </c>
      <c r="K6" s="325">
        <v>28055</v>
      </c>
      <c r="L6" s="6">
        <v>549.82000000000005</v>
      </c>
      <c r="M6" s="63">
        <v>14265</v>
      </c>
      <c r="N6" s="182">
        <v>69308.490000000005</v>
      </c>
      <c r="O6" s="64">
        <f t="shared" si="1"/>
        <v>34699.25</v>
      </c>
      <c r="P6" s="183"/>
      <c r="Q6" s="184">
        <v>239.8</v>
      </c>
      <c r="R6" s="185">
        <v>68127</v>
      </c>
      <c r="S6" s="186">
        <v>89977.27</v>
      </c>
      <c r="T6" s="56">
        <f>O6+(O9/3)+O14</f>
        <v>56074.555555555555</v>
      </c>
      <c r="U6" s="187"/>
      <c r="V6" s="188">
        <v>105220.58</v>
      </c>
      <c r="W6" s="180"/>
    </row>
    <row r="7" spans="2:23" ht="15" customHeight="1" x14ac:dyDescent="0.25">
      <c r="B7" s="370"/>
      <c r="C7" s="5" t="s">
        <v>44</v>
      </c>
      <c r="D7" s="181">
        <v>8.1999999999999993</v>
      </c>
      <c r="E7" s="181">
        <v>18.399999999999999</v>
      </c>
      <c r="F7" s="181">
        <v>1</v>
      </c>
      <c r="G7" s="205">
        <v>39.799999999999997</v>
      </c>
      <c r="H7" s="332">
        <f t="shared" si="0"/>
        <v>67.399999999999991</v>
      </c>
      <c r="I7" s="328">
        <v>109.2</v>
      </c>
      <c r="J7" s="328">
        <f t="shared" si="2"/>
        <v>176.6</v>
      </c>
      <c r="K7" s="326">
        <v>28890.35</v>
      </c>
      <c r="L7" s="190">
        <v>730</v>
      </c>
      <c r="M7" s="189">
        <v>2623.58</v>
      </c>
      <c r="N7" s="182">
        <v>30542.99</v>
      </c>
      <c r="O7" s="334">
        <f t="shared" si="1"/>
        <v>29742.166666666668</v>
      </c>
      <c r="P7" s="183"/>
      <c r="Q7" s="184">
        <v>236.6</v>
      </c>
      <c r="R7" s="185">
        <v>69826.929999999993</v>
      </c>
      <c r="S7" s="186">
        <v>64104.82</v>
      </c>
      <c r="T7" s="56">
        <f>O7+O10+(O9/3)+O16</f>
        <v>81197.472222222234</v>
      </c>
      <c r="U7" s="187"/>
      <c r="V7" s="188">
        <v>40132.51</v>
      </c>
      <c r="W7" s="180"/>
    </row>
    <row r="8" spans="2:23" ht="15" customHeight="1" x14ac:dyDescent="0.25">
      <c r="B8" s="370"/>
      <c r="C8" s="5" t="s">
        <v>47</v>
      </c>
      <c r="D8" s="181">
        <v>0</v>
      </c>
      <c r="E8" s="181">
        <v>0</v>
      </c>
      <c r="F8" s="181">
        <v>0</v>
      </c>
      <c r="G8" s="205">
        <v>26.6</v>
      </c>
      <c r="H8" s="332">
        <f t="shared" si="0"/>
        <v>26.6</v>
      </c>
      <c r="I8" s="328">
        <v>111.8</v>
      </c>
      <c r="J8" s="328">
        <f t="shared" si="2"/>
        <v>138.4</v>
      </c>
      <c r="K8" s="325">
        <v>32502.5</v>
      </c>
      <c r="L8" s="6">
        <v>0</v>
      </c>
      <c r="M8" s="63">
        <v>1942.5</v>
      </c>
      <c r="N8" s="182">
        <v>19957.63</v>
      </c>
      <c r="O8" s="64">
        <f t="shared" si="1"/>
        <v>28074.666666666668</v>
      </c>
      <c r="P8" s="183"/>
      <c r="Q8" s="184"/>
      <c r="R8" s="185"/>
      <c r="S8" s="186"/>
      <c r="T8" s="57"/>
      <c r="U8" s="187"/>
      <c r="V8" s="188"/>
      <c r="W8" s="180"/>
    </row>
    <row r="9" spans="2:23" ht="15" customHeight="1" x14ac:dyDescent="0.25">
      <c r="B9" s="370"/>
      <c r="C9" s="7" t="s">
        <v>85</v>
      </c>
      <c r="D9" s="181">
        <v>0</v>
      </c>
      <c r="E9" s="181">
        <v>1</v>
      </c>
      <c r="F9" s="181">
        <v>0</v>
      </c>
      <c r="G9" s="205">
        <v>34.799999999999997</v>
      </c>
      <c r="H9" s="332">
        <f t="shared" si="0"/>
        <v>35.799999999999997</v>
      </c>
      <c r="I9" s="328">
        <v>105</v>
      </c>
      <c r="J9" s="328">
        <f t="shared" si="2"/>
        <v>140.80000000000001</v>
      </c>
      <c r="K9" s="325">
        <v>17917.22</v>
      </c>
      <c r="L9" s="6">
        <v>2066.2199999999998</v>
      </c>
      <c r="M9" s="63">
        <v>4412.78</v>
      </c>
      <c r="N9" s="182">
        <v>12762.96</v>
      </c>
      <c r="O9" s="64">
        <f t="shared" si="1"/>
        <v>22058.666666666668</v>
      </c>
      <c r="P9" s="183"/>
      <c r="Q9" s="191"/>
      <c r="R9" s="192"/>
      <c r="S9" s="143"/>
      <c r="T9" s="58"/>
      <c r="U9" s="193"/>
      <c r="V9" s="194"/>
      <c r="W9" s="180"/>
    </row>
    <row r="10" spans="2:23" ht="15" customHeight="1" x14ac:dyDescent="0.25">
      <c r="B10" s="370"/>
      <c r="C10" s="7" t="s">
        <v>87</v>
      </c>
      <c r="D10" s="181">
        <v>0</v>
      </c>
      <c r="E10" s="181">
        <v>0.4</v>
      </c>
      <c r="F10" s="181">
        <v>10.4</v>
      </c>
      <c r="G10" s="205">
        <v>3.2</v>
      </c>
      <c r="H10" s="332">
        <f t="shared" si="0"/>
        <v>14</v>
      </c>
      <c r="I10" s="328">
        <v>90.6</v>
      </c>
      <c r="J10" s="328">
        <f t="shared" si="2"/>
        <v>104.6</v>
      </c>
      <c r="K10" s="325">
        <v>25050</v>
      </c>
      <c r="L10" s="6">
        <v>0</v>
      </c>
      <c r="M10" s="63">
        <v>2700</v>
      </c>
      <c r="N10" s="182">
        <v>19950.36</v>
      </c>
      <c r="O10" s="64">
        <f t="shared" si="1"/>
        <v>30080</v>
      </c>
      <c r="P10" s="183"/>
      <c r="Q10" s="191"/>
      <c r="R10" s="192"/>
      <c r="S10" s="143"/>
      <c r="T10" s="58"/>
      <c r="U10" s="193"/>
      <c r="V10" s="194"/>
      <c r="W10" s="180"/>
    </row>
    <row r="11" spans="2:23" ht="15" hidden="1" customHeight="1" x14ac:dyDescent="0.25">
      <c r="B11" s="370"/>
      <c r="C11" s="7" t="s">
        <v>199</v>
      </c>
      <c r="D11" s="181"/>
      <c r="E11" s="181"/>
      <c r="F11" s="181"/>
      <c r="G11" s="205"/>
      <c r="H11" s="332"/>
      <c r="I11" s="328"/>
      <c r="J11" s="328"/>
      <c r="K11" s="325"/>
      <c r="L11" s="6"/>
      <c r="M11" s="63"/>
      <c r="N11" s="182"/>
      <c r="O11" s="64"/>
      <c r="P11" s="183"/>
      <c r="Q11" s="191"/>
      <c r="R11" s="192"/>
      <c r="S11" s="143"/>
      <c r="T11" s="58"/>
      <c r="U11" s="193"/>
      <c r="V11" s="194"/>
      <c r="W11" s="180"/>
    </row>
    <row r="12" spans="2:23" ht="15" customHeight="1" x14ac:dyDescent="0.25">
      <c r="B12" s="370"/>
      <c r="C12" s="7" t="s">
        <v>213</v>
      </c>
      <c r="D12" s="181">
        <v>0</v>
      </c>
      <c r="E12" s="181">
        <v>0.8</v>
      </c>
      <c r="F12" s="181">
        <v>0</v>
      </c>
      <c r="G12" s="205">
        <v>0</v>
      </c>
      <c r="H12" s="332">
        <f t="shared" si="0"/>
        <v>0.8</v>
      </c>
      <c r="I12" s="328">
        <v>3</v>
      </c>
      <c r="J12" s="328">
        <f t="shared" si="2"/>
        <v>3.8</v>
      </c>
      <c r="K12" s="325">
        <v>0</v>
      </c>
      <c r="L12" s="6">
        <v>0</v>
      </c>
      <c r="M12" s="63">
        <v>0</v>
      </c>
      <c r="N12" s="182">
        <v>0</v>
      </c>
      <c r="O12" s="64"/>
      <c r="P12" s="183"/>
      <c r="Q12" s="191"/>
      <c r="R12" s="192"/>
      <c r="S12" s="143">
        <v>0</v>
      </c>
      <c r="T12" s="58"/>
      <c r="U12" s="193"/>
      <c r="V12" s="194"/>
      <c r="W12" s="180"/>
    </row>
    <row r="13" spans="2:23" ht="15" customHeight="1" x14ac:dyDescent="0.25">
      <c r="B13" s="370"/>
      <c r="C13" s="7" t="s">
        <v>202</v>
      </c>
      <c r="D13" s="181">
        <v>0</v>
      </c>
      <c r="E13" s="181">
        <v>5.2</v>
      </c>
      <c r="F13" s="181">
        <v>0</v>
      </c>
      <c r="G13" s="205">
        <v>0</v>
      </c>
      <c r="H13" s="332">
        <f t="shared" si="0"/>
        <v>5.2</v>
      </c>
      <c r="I13" s="328">
        <v>9.1999999999999993</v>
      </c>
      <c r="J13" s="328">
        <f t="shared" si="2"/>
        <v>14.399999999999999</v>
      </c>
      <c r="K13" s="325">
        <v>0</v>
      </c>
      <c r="L13" s="6">
        <v>0</v>
      </c>
      <c r="M13" s="63">
        <v>0</v>
      </c>
      <c r="N13" s="182">
        <v>0</v>
      </c>
      <c r="O13" s="64"/>
      <c r="P13" s="183"/>
      <c r="Q13" s="191">
        <v>10.6</v>
      </c>
      <c r="R13" s="192">
        <v>2915</v>
      </c>
      <c r="S13" s="143">
        <v>2915</v>
      </c>
      <c r="T13" s="58"/>
      <c r="U13" s="193"/>
      <c r="V13" s="194">
        <v>0</v>
      </c>
      <c r="W13" s="180"/>
    </row>
    <row r="14" spans="2:23" ht="15" customHeight="1" x14ac:dyDescent="0.25">
      <c r="B14" s="370"/>
      <c r="C14" s="7" t="s">
        <v>49</v>
      </c>
      <c r="D14" s="181">
        <v>0</v>
      </c>
      <c r="E14" s="181">
        <v>0.6</v>
      </c>
      <c r="F14" s="181">
        <v>0</v>
      </c>
      <c r="G14" s="205">
        <v>12.2</v>
      </c>
      <c r="H14" s="332">
        <f t="shared" si="0"/>
        <v>12.799999999999999</v>
      </c>
      <c r="I14" s="328">
        <v>88.4</v>
      </c>
      <c r="J14" s="328">
        <f t="shared" si="2"/>
        <v>101.2</v>
      </c>
      <c r="K14" s="325">
        <v>14248</v>
      </c>
      <c r="L14" s="6">
        <v>175</v>
      </c>
      <c r="M14" s="63">
        <v>1196</v>
      </c>
      <c r="N14" s="182">
        <v>13374.79</v>
      </c>
      <c r="O14" s="64">
        <f>O106/12</f>
        <v>14022.416666666666</v>
      </c>
      <c r="P14" s="183"/>
      <c r="Q14" s="191"/>
      <c r="R14" s="192"/>
      <c r="S14" s="143"/>
      <c r="T14" s="58"/>
      <c r="U14" s="193"/>
      <c r="V14" s="194"/>
      <c r="W14" s="180"/>
    </row>
    <row r="15" spans="2:23" ht="15" customHeight="1" x14ac:dyDescent="0.25">
      <c r="B15" s="370"/>
      <c r="C15" s="7" t="s">
        <v>48</v>
      </c>
      <c r="D15" s="181">
        <v>0</v>
      </c>
      <c r="E15" s="181">
        <v>0</v>
      </c>
      <c r="F15" s="181">
        <v>0</v>
      </c>
      <c r="G15" s="205">
        <v>28.8</v>
      </c>
      <c r="H15" s="332">
        <f t="shared" si="0"/>
        <v>28.8</v>
      </c>
      <c r="I15" s="328">
        <v>93.8</v>
      </c>
      <c r="J15" s="328">
        <f t="shared" si="2"/>
        <v>122.6</v>
      </c>
      <c r="K15" s="325">
        <v>13745.24</v>
      </c>
      <c r="L15" s="6">
        <v>107.16</v>
      </c>
      <c r="M15" s="63">
        <v>1114.76</v>
      </c>
      <c r="N15" s="182">
        <v>22839.31</v>
      </c>
      <c r="O15" s="64">
        <f>O107/12</f>
        <v>14022.416666666666</v>
      </c>
      <c r="P15" s="183"/>
      <c r="Q15" s="191"/>
      <c r="R15" s="192"/>
      <c r="S15" s="143"/>
      <c r="T15" s="58"/>
      <c r="U15" s="193"/>
      <c r="V15" s="194"/>
      <c r="W15" s="180"/>
    </row>
    <row r="16" spans="2:23" ht="15" customHeight="1" x14ac:dyDescent="0.25">
      <c r="B16" s="370"/>
      <c r="C16" s="7" t="s">
        <v>50</v>
      </c>
      <c r="D16" s="181">
        <v>0</v>
      </c>
      <c r="E16" s="181">
        <v>1.6</v>
      </c>
      <c r="F16" s="181">
        <v>0</v>
      </c>
      <c r="G16" s="205">
        <v>4.4000000000000004</v>
      </c>
      <c r="H16" s="332">
        <f t="shared" si="0"/>
        <v>6</v>
      </c>
      <c r="I16" s="328">
        <v>106.2</v>
      </c>
      <c r="J16" s="328">
        <f t="shared" si="2"/>
        <v>112.2</v>
      </c>
      <c r="K16" s="325">
        <v>19113.28</v>
      </c>
      <c r="L16" s="6">
        <v>177.56</v>
      </c>
      <c r="M16" s="63">
        <v>580.79999999999995</v>
      </c>
      <c r="N16" s="182">
        <v>19405</v>
      </c>
      <c r="O16" s="64">
        <f>O108/12</f>
        <v>14022.416666666666</v>
      </c>
      <c r="P16" s="183"/>
      <c r="Q16" s="191"/>
      <c r="R16" s="192"/>
      <c r="S16" s="143"/>
      <c r="T16" s="58"/>
      <c r="U16" s="193"/>
      <c r="V16" s="194"/>
      <c r="W16" s="180"/>
    </row>
    <row r="17" spans="2:23" ht="15" customHeight="1" x14ac:dyDescent="0.25">
      <c r="B17" s="370"/>
      <c r="C17" s="7" t="s">
        <v>68</v>
      </c>
      <c r="D17" s="181">
        <v>0</v>
      </c>
      <c r="E17" s="181">
        <v>0</v>
      </c>
      <c r="F17" s="181">
        <v>0</v>
      </c>
      <c r="G17" s="205">
        <v>118.8</v>
      </c>
      <c r="H17" s="332">
        <f t="shared" si="0"/>
        <v>118.8</v>
      </c>
      <c r="I17" s="328">
        <v>1.4</v>
      </c>
      <c r="J17" s="328">
        <f t="shared" si="2"/>
        <v>120.2</v>
      </c>
      <c r="K17" s="325">
        <v>231.88</v>
      </c>
      <c r="L17" s="6">
        <v>0</v>
      </c>
      <c r="M17" s="63">
        <v>48.13</v>
      </c>
      <c r="N17" s="182">
        <v>196.88</v>
      </c>
      <c r="O17" s="64"/>
      <c r="P17" s="183"/>
      <c r="Q17" s="191"/>
      <c r="R17" s="192"/>
      <c r="S17" s="143"/>
      <c r="T17" s="58"/>
      <c r="U17" s="193"/>
      <c r="V17" s="194"/>
      <c r="W17" s="180"/>
    </row>
    <row r="18" spans="2:23" ht="15" customHeight="1" x14ac:dyDescent="0.25">
      <c r="B18" s="370"/>
      <c r="C18" s="7" t="s">
        <v>88</v>
      </c>
      <c r="D18" s="181">
        <v>0</v>
      </c>
      <c r="E18" s="181">
        <v>0</v>
      </c>
      <c r="F18" s="181">
        <v>0</v>
      </c>
      <c r="G18" s="205">
        <v>158</v>
      </c>
      <c r="H18" s="332">
        <f t="shared" si="0"/>
        <v>158</v>
      </c>
      <c r="I18" s="328">
        <v>0.6</v>
      </c>
      <c r="J18" s="328">
        <f t="shared" si="2"/>
        <v>158.6</v>
      </c>
      <c r="K18" s="325">
        <v>75</v>
      </c>
      <c r="L18" s="6">
        <v>0</v>
      </c>
      <c r="M18" s="63">
        <v>0</v>
      </c>
      <c r="N18" s="182">
        <v>50</v>
      </c>
      <c r="O18" s="64"/>
      <c r="P18" s="183"/>
      <c r="Q18" s="191"/>
      <c r="R18" s="192"/>
      <c r="S18" s="143"/>
      <c r="T18" s="58"/>
      <c r="U18" s="193"/>
      <c r="V18" s="194"/>
      <c r="W18" s="180"/>
    </row>
    <row r="19" spans="2:23" ht="15" customHeight="1" x14ac:dyDescent="0.25">
      <c r="B19" s="370"/>
      <c r="C19" s="7" t="s">
        <v>69</v>
      </c>
      <c r="D19" s="181">
        <v>0</v>
      </c>
      <c r="E19" s="181">
        <v>0</v>
      </c>
      <c r="F19" s="181">
        <v>0</v>
      </c>
      <c r="G19" s="205">
        <v>77.599999999999994</v>
      </c>
      <c r="H19" s="332">
        <f t="shared" si="0"/>
        <v>77.599999999999994</v>
      </c>
      <c r="I19" s="328">
        <v>0</v>
      </c>
      <c r="J19" s="328">
        <f t="shared" si="2"/>
        <v>77.599999999999994</v>
      </c>
      <c r="K19" s="325"/>
      <c r="L19" s="6"/>
      <c r="M19" s="63"/>
      <c r="N19" s="182">
        <v>0</v>
      </c>
      <c r="O19" s="64"/>
      <c r="P19" s="183"/>
      <c r="Q19" s="191"/>
      <c r="R19" s="192"/>
      <c r="S19" s="143"/>
      <c r="T19" s="58"/>
      <c r="U19" s="193"/>
      <c r="V19" s="194"/>
      <c r="W19" s="180"/>
    </row>
    <row r="20" spans="2:23" ht="15" customHeight="1" x14ac:dyDescent="0.25">
      <c r="B20" s="370"/>
      <c r="C20" s="7" t="s">
        <v>211</v>
      </c>
      <c r="D20" s="181">
        <v>0</v>
      </c>
      <c r="E20" s="181">
        <v>141.80000000000001</v>
      </c>
      <c r="F20" s="181">
        <v>0</v>
      </c>
      <c r="G20" s="205">
        <v>0</v>
      </c>
      <c r="H20" s="332">
        <f t="shared" si="0"/>
        <v>141.80000000000001</v>
      </c>
      <c r="I20" s="328">
        <v>0</v>
      </c>
      <c r="J20" s="328">
        <f t="shared" si="2"/>
        <v>141.80000000000001</v>
      </c>
      <c r="K20" s="325"/>
      <c r="L20" s="6"/>
      <c r="M20" s="63"/>
      <c r="N20" s="182">
        <v>0</v>
      </c>
      <c r="O20" s="64"/>
      <c r="P20" s="183"/>
      <c r="Q20" s="191"/>
      <c r="R20" s="192"/>
      <c r="S20" s="143"/>
      <c r="T20" s="58"/>
      <c r="U20" s="193"/>
      <c r="V20" s="194"/>
      <c r="W20" s="180"/>
    </row>
    <row r="21" spans="2:23" ht="15" customHeight="1" x14ac:dyDescent="0.25">
      <c r="B21" s="370"/>
      <c r="C21" s="7" t="s">
        <v>77</v>
      </c>
      <c r="D21" s="181">
        <v>0</v>
      </c>
      <c r="E21" s="181">
        <v>0</v>
      </c>
      <c r="F21" s="181">
        <v>0</v>
      </c>
      <c r="G21" s="205">
        <v>0</v>
      </c>
      <c r="H21" s="332">
        <f t="shared" si="0"/>
        <v>0</v>
      </c>
      <c r="I21" s="328">
        <v>50.6</v>
      </c>
      <c r="J21" s="328">
        <f t="shared" si="2"/>
        <v>50.6</v>
      </c>
      <c r="K21" s="325">
        <v>18975</v>
      </c>
      <c r="L21" s="6">
        <v>337.44</v>
      </c>
      <c r="M21" s="63">
        <v>0</v>
      </c>
      <c r="N21" s="182">
        <v>7717.17</v>
      </c>
      <c r="O21" s="64"/>
      <c r="P21" s="183"/>
      <c r="Q21" s="191">
        <v>0</v>
      </c>
      <c r="R21" s="192">
        <v>0</v>
      </c>
      <c r="S21" s="143">
        <v>7382.41</v>
      </c>
      <c r="T21" s="58"/>
      <c r="U21" s="193"/>
      <c r="V21" s="194">
        <v>7382.41</v>
      </c>
      <c r="W21" s="180"/>
    </row>
    <row r="22" spans="2:23" ht="15" customHeight="1" x14ac:dyDescent="0.25">
      <c r="B22" s="370"/>
      <c r="C22" s="7" t="s">
        <v>46</v>
      </c>
      <c r="D22" s="181"/>
      <c r="E22" s="181"/>
      <c r="F22" s="181"/>
      <c r="G22" s="205"/>
      <c r="H22" s="332">
        <f t="shared" si="0"/>
        <v>0</v>
      </c>
      <c r="I22" s="328"/>
      <c r="J22" s="328">
        <f t="shared" si="2"/>
        <v>0</v>
      </c>
      <c r="K22" s="325">
        <v>1650</v>
      </c>
      <c r="L22" s="6">
        <v>0</v>
      </c>
      <c r="M22" s="63">
        <v>0</v>
      </c>
      <c r="N22" s="182">
        <v>7170.16</v>
      </c>
      <c r="O22" s="64"/>
      <c r="P22" s="183"/>
      <c r="Q22" s="191"/>
      <c r="R22" s="192"/>
      <c r="S22" s="143"/>
      <c r="T22" s="58"/>
      <c r="U22" s="193"/>
      <c r="V22" s="194">
        <v>8210</v>
      </c>
      <c r="W22" s="180"/>
    </row>
    <row r="23" spans="2:23" ht="15" customHeight="1" x14ac:dyDescent="0.25">
      <c r="B23" s="370"/>
      <c r="C23" s="7" t="s">
        <v>45</v>
      </c>
      <c r="D23" s="181"/>
      <c r="E23" s="181"/>
      <c r="F23" s="181"/>
      <c r="G23" s="205"/>
      <c r="H23" s="332">
        <f t="shared" si="0"/>
        <v>0</v>
      </c>
      <c r="I23" s="328"/>
      <c r="J23" s="328">
        <f t="shared" si="2"/>
        <v>0</v>
      </c>
      <c r="K23" s="325">
        <v>0</v>
      </c>
      <c r="L23" s="6">
        <v>0</v>
      </c>
      <c r="M23" s="63">
        <v>0</v>
      </c>
      <c r="N23" s="182">
        <v>1280</v>
      </c>
      <c r="O23" s="64"/>
      <c r="P23" s="183"/>
      <c r="Q23" s="191"/>
      <c r="R23" s="192"/>
      <c r="S23" s="143"/>
      <c r="T23" s="58"/>
      <c r="U23" s="193"/>
      <c r="V23" s="194"/>
      <c r="W23" s="180"/>
    </row>
    <row r="24" spans="2:23" ht="15" customHeight="1" x14ac:dyDescent="0.25">
      <c r="B24" s="370"/>
      <c r="C24" s="7" t="s">
        <v>74</v>
      </c>
      <c r="D24" s="181"/>
      <c r="E24" s="181"/>
      <c r="F24" s="181"/>
      <c r="G24" s="205"/>
      <c r="H24" s="332">
        <f t="shared" si="0"/>
        <v>0</v>
      </c>
      <c r="I24" s="328"/>
      <c r="J24" s="328">
        <f t="shared" si="2"/>
        <v>0</v>
      </c>
      <c r="K24" s="325">
        <v>0</v>
      </c>
      <c r="L24" s="6">
        <v>0</v>
      </c>
      <c r="M24" s="318">
        <v>0</v>
      </c>
      <c r="N24" s="319">
        <v>720</v>
      </c>
      <c r="O24" s="64"/>
      <c r="P24" s="183"/>
      <c r="Q24" s="191"/>
      <c r="R24" s="320"/>
      <c r="S24" s="321"/>
      <c r="T24" s="58"/>
      <c r="U24" s="193"/>
      <c r="V24" s="194"/>
      <c r="W24" s="180"/>
    </row>
    <row r="25" spans="2:23" ht="15" hidden="1" customHeight="1" x14ac:dyDescent="0.25">
      <c r="B25" s="370"/>
      <c r="C25" s="7" t="s">
        <v>52</v>
      </c>
      <c r="D25" s="181"/>
      <c r="E25" s="181"/>
      <c r="F25" s="181"/>
      <c r="G25" s="205"/>
      <c r="H25" s="332">
        <f t="shared" si="0"/>
        <v>0</v>
      </c>
      <c r="I25" s="328"/>
      <c r="J25" s="328">
        <f t="shared" si="2"/>
        <v>0</v>
      </c>
      <c r="K25" s="325"/>
      <c r="L25" s="6"/>
      <c r="M25" s="318"/>
      <c r="N25" s="319"/>
      <c r="O25" s="64"/>
      <c r="P25" s="183"/>
      <c r="Q25" s="191"/>
      <c r="R25" s="320"/>
      <c r="S25" s="321"/>
      <c r="T25" s="58"/>
      <c r="U25" s="193"/>
      <c r="V25" s="194"/>
      <c r="W25" s="180"/>
    </row>
    <row r="26" spans="2:23" ht="15" customHeight="1" x14ac:dyDescent="0.25">
      <c r="B26" s="370"/>
      <c r="C26" s="7" t="s">
        <v>51</v>
      </c>
      <c r="D26" s="181"/>
      <c r="E26" s="181"/>
      <c r="F26" s="181"/>
      <c r="G26" s="205"/>
      <c r="H26" s="332">
        <f t="shared" si="0"/>
        <v>0</v>
      </c>
      <c r="I26" s="328"/>
      <c r="J26" s="328">
        <f t="shared" si="2"/>
        <v>0</v>
      </c>
      <c r="K26" s="325">
        <v>0</v>
      </c>
      <c r="L26" s="6">
        <v>0</v>
      </c>
      <c r="M26" s="318">
        <v>0</v>
      </c>
      <c r="N26" s="319">
        <v>1257.99</v>
      </c>
      <c r="O26" s="64"/>
      <c r="P26" s="183"/>
      <c r="Q26" s="191"/>
      <c r="R26" s="320"/>
      <c r="S26" s="321"/>
      <c r="T26" s="58"/>
      <c r="U26" s="193"/>
      <c r="V26" s="194"/>
      <c r="W26" s="180"/>
    </row>
    <row r="27" spans="2:23" ht="15" hidden="1" customHeight="1" x14ac:dyDescent="0.25">
      <c r="B27" s="370"/>
      <c r="C27" s="7" t="s">
        <v>71</v>
      </c>
      <c r="D27" s="181"/>
      <c r="E27" s="181"/>
      <c r="F27" s="181"/>
      <c r="G27" s="205"/>
      <c r="H27" s="332">
        <f t="shared" si="0"/>
        <v>0</v>
      </c>
      <c r="I27" s="328"/>
      <c r="J27" s="328">
        <f t="shared" si="2"/>
        <v>0</v>
      </c>
      <c r="K27" s="325"/>
      <c r="L27" s="6"/>
      <c r="M27" s="318"/>
      <c r="N27" s="319"/>
      <c r="O27" s="64"/>
      <c r="P27" s="183"/>
      <c r="Q27" s="191"/>
      <c r="R27" s="320"/>
      <c r="S27" s="321"/>
      <c r="T27" s="58"/>
      <c r="U27" s="193"/>
      <c r="V27" s="194"/>
      <c r="W27" s="180"/>
    </row>
    <row r="28" spans="2:23" ht="15" hidden="1" customHeight="1" x14ac:dyDescent="0.25">
      <c r="B28" s="370"/>
      <c r="C28" s="7" t="s">
        <v>72</v>
      </c>
      <c r="D28" s="181"/>
      <c r="E28" s="181"/>
      <c r="F28" s="181"/>
      <c r="G28" s="205"/>
      <c r="H28" s="332">
        <f t="shared" si="0"/>
        <v>0</v>
      </c>
      <c r="I28" s="328"/>
      <c r="J28" s="328">
        <f t="shared" si="2"/>
        <v>0</v>
      </c>
      <c r="K28" s="325"/>
      <c r="L28" s="6"/>
      <c r="M28" s="318"/>
      <c r="N28" s="319"/>
      <c r="O28" s="64"/>
      <c r="P28" s="183"/>
      <c r="Q28" s="191"/>
      <c r="R28" s="320"/>
      <c r="S28" s="321"/>
      <c r="T28" s="58"/>
      <c r="U28" s="193"/>
      <c r="V28" s="194"/>
      <c r="W28" s="180"/>
    </row>
    <row r="29" spans="2:23" ht="15" hidden="1" customHeight="1" x14ac:dyDescent="0.25">
      <c r="B29" s="370"/>
      <c r="C29" s="7" t="s">
        <v>70</v>
      </c>
      <c r="D29" s="181"/>
      <c r="E29" s="181"/>
      <c r="F29" s="181"/>
      <c r="G29" s="205"/>
      <c r="H29" s="332">
        <f t="shared" si="0"/>
        <v>0</v>
      </c>
      <c r="I29" s="328"/>
      <c r="J29" s="328">
        <f t="shared" si="2"/>
        <v>0</v>
      </c>
      <c r="K29" s="325"/>
      <c r="L29" s="6"/>
      <c r="M29" s="318"/>
      <c r="N29" s="319">
        <v>0</v>
      </c>
      <c r="O29" s="64"/>
      <c r="P29" s="183"/>
      <c r="Q29" s="191"/>
      <c r="R29" s="320"/>
      <c r="S29" s="321"/>
      <c r="T29" s="58"/>
      <c r="U29" s="193"/>
      <c r="V29" s="194"/>
      <c r="W29" s="180"/>
    </row>
    <row r="30" spans="2:23" ht="15" customHeight="1" x14ac:dyDescent="0.25">
      <c r="B30" s="370"/>
      <c r="C30" s="7" t="s">
        <v>73</v>
      </c>
      <c r="D30" s="181"/>
      <c r="E30" s="181"/>
      <c r="F30" s="181"/>
      <c r="G30" s="205"/>
      <c r="H30" s="332">
        <f t="shared" si="0"/>
        <v>0</v>
      </c>
      <c r="I30" s="328"/>
      <c r="J30" s="328">
        <f t="shared" si="2"/>
        <v>0</v>
      </c>
      <c r="K30" s="325">
        <v>0</v>
      </c>
      <c r="L30" s="6">
        <v>0</v>
      </c>
      <c r="M30" s="63">
        <v>0</v>
      </c>
      <c r="N30" s="182">
        <v>90</v>
      </c>
      <c r="O30" s="64"/>
      <c r="P30" s="183"/>
      <c r="Q30" s="191"/>
      <c r="R30" s="192"/>
      <c r="S30" s="143"/>
      <c r="T30" s="58"/>
      <c r="U30" s="193"/>
      <c r="V30" s="194"/>
      <c r="W30" s="180"/>
    </row>
    <row r="31" spans="2:23" ht="15" customHeight="1" x14ac:dyDescent="0.25">
      <c r="B31" s="370"/>
      <c r="C31" s="8" t="s">
        <v>212</v>
      </c>
      <c r="D31" s="195"/>
      <c r="E31" s="195"/>
      <c r="F31" s="195"/>
      <c r="G31" s="195"/>
      <c r="H31" s="331">
        <f t="shared" si="0"/>
        <v>0</v>
      </c>
      <c r="I31" s="331"/>
      <c r="J31" s="329">
        <f t="shared" si="2"/>
        <v>0</v>
      </c>
      <c r="K31" s="119">
        <v>0</v>
      </c>
      <c r="L31" s="43">
        <v>0</v>
      </c>
      <c r="M31" s="119">
        <v>108</v>
      </c>
      <c r="N31" s="196">
        <v>0</v>
      </c>
      <c r="O31" s="120"/>
      <c r="P31" s="183"/>
      <c r="Q31" s="197"/>
      <c r="R31" s="198"/>
      <c r="S31" s="199"/>
      <c r="T31" s="59"/>
      <c r="U31" s="193"/>
      <c r="V31" s="200"/>
      <c r="W31" s="180"/>
    </row>
    <row r="32" spans="2:23" ht="15" customHeight="1" thickBot="1" x14ac:dyDescent="0.3">
      <c r="B32" s="371"/>
      <c r="C32" s="9"/>
      <c r="D32" s="10">
        <f t="shared" ref="D32:O32" si="3">SUM(D5:D31)</f>
        <v>12.399999999999999</v>
      </c>
      <c r="E32" s="323">
        <f t="shared" si="3"/>
        <v>194.8</v>
      </c>
      <c r="F32" s="323">
        <f t="shared" si="3"/>
        <v>11.4</v>
      </c>
      <c r="G32" s="322">
        <f t="shared" si="3"/>
        <v>571.79999999999995</v>
      </c>
      <c r="H32" s="65">
        <f t="shared" si="3"/>
        <v>790.40000000000009</v>
      </c>
      <c r="I32" s="10">
        <f t="shared" si="3"/>
        <v>967.40000000000009</v>
      </c>
      <c r="J32" s="324">
        <f t="shared" si="3"/>
        <v>1757.7999999999997</v>
      </c>
      <c r="K32" s="201">
        <f t="shared" si="3"/>
        <v>239419.95</v>
      </c>
      <c r="L32" s="202">
        <f t="shared" si="3"/>
        <v>4495</v>
      </c>
      <c r="M32" s="11">
        <f t="shared" si="3"/>
        <v>31805.069999999996</v>
      </c>
      <c r="N32" s="203">
        <f t="shared" si="3"/>
        <v>255795.78</v>
      </c>
      <c r="O32" s="46">
        <f t="shared" si="3"/>
        <v>223073.58333333331</v>
      </c>
      <c r="P32" s="20"/>
      <c r="Q32" s="60">
        <f>SUM(Q5:Q31)</f>
        <v>790</v>
      </c>
      <c r="R32" s="44">
        <f>SUM(R5:R31)</f>
        <v>239419.93</v>
      </c>
      <c r="S32" s="12">
        <f>SUM(S5:S31)</f>
        <v>255795.78</v>
      </c>
      <c r="T32" s="61">
        <f>SUM(T5:T31)</f>
        <v>223073.58333333337</v>
      </c>
      <c r="U32" s="55"/>
      <c r="V32" s="204">
        <f>SUM(V5:V31)</f>
        <v>255795.78</v>
      </c>
      <c r="W32" s="159"/>
    </row>
    <row r="33" spans="2:23" ht="16.5" thickTop="1" thickBot="1" x14ac:dyDescent="0.3">
      <c r="B33" s="159"/>
      <c r="I33" s="159"/>
      <c r="J33" s="312"/>
      <c r="K33" s="159"/>
      <c r="L33" s="159"/>
      <c r="M33" s="159"/>
      <c r="N33" s="159"/>
      <c r="P33" s="160"/>
      <c r="Q33" s="159"/>
      <c r="R33" s="159"/>
      <c r="S33" s="159"/>
      <c r="U33" s="159"/>
      <c r="V33" s="159"/>
      <c r="W33" s="159"/>
    </row>
    <row r="34" spans="2:23" ht="15.75" thickTop="1" x14ac:dyDescent="0.25">
      <c r="B34" s="369" t="s">
        <v>75</v>
      </c>
      <c r="C34" s="170" t="s">
        <v>42</v>
      </c>
      <c r="D34" s="311">
        <v>5.6</v>
      </c>
      <c r="E34" s="171">
        <v>18</v>
      </c>
      <c r="F34" s="171">
        <v>0</v>
      </c>
      <c r="G34" s="171">
        <v>55</v>
      </c>
      <c r="H34" s="330">
        <f t="shared" ref="H34:H60" si="4">SUM(D34:G34)</f>
        <v>78.599999999999994</v>
      </c>
      <c r="I34" s="330">
        <v>219.4</v>
      </c>
      <c r="J34" s="327">
        <f>H34+I34</f>
        <v>298</v>
      </c>
      <c r="K34" s="172">
        <v>73250</v>
      </c>
      <c r="L34" s="62">
        <v>1964.39</v>
      </c>
      <c r="M34" s="172">
        <v>5060</v>
      </c>
      <c r="N34" s="173">
        <v>50248.74</v>
      </c>
      <c r="O34" s="335">
        <f>O97/12</f>
        <v>36351.583333333336</v>
      </c>
      <c r="P34" s="21"/>
      <c r="Q34" s="174">
        <v>328.4</v>
      </c>
      <c r="R34" s="175">
        <v>119138</v>
      </c>
      <c r="S34" s="176">
        <v>124463.76</v>
      </c>
      <c r="T34" s="177">
        <f>O34+O37+(O38/3)+O44</f>
        <v>85801.555555555562</v>
      </c>
      <c r="U34" s="178"/>
      <c r="V34" s="179">
        <v>140160.76</v>
      </c>
    </row>
    <row r="35" spans="2:23" x14ac:dyDescent="0.25">
      <c r="B35" s="370"/>
      <c r="C35" s="5" t="s">
        <v>43</v>
      </c>
      <c r="D35" s="181">
        <v>3.4</v>
      </c>
      <c r="E35" s="181">
        <v>17.600000000000001</v>
      </c>
      <c r="F35" s="181">
        <v>0</v>
      </c>
      <c r="G35" s="205">
        <v>15.6</v>
      </c>
      <c r="H35" s="332">
        <f t="shared" si="4"/>
        <v>36.6</v>
      </c>
      <c r="I35" s="328">
        <v>140</v>
      </c>
      <c r="J35" s="328">
        <f t="shared" ref="J35:J60" si="5">H35+I35</f>
        <v>176.6</v>
      </c>
      <c r="K35" s="325">
        <v>52095</v>
      </c>
      <c r="L35" s="6">
        <v>2355</v>
      </c>
      <c r="M35" s="63">
        <v>2310</v>
      </c>
      <c r="N35" s="182">
        <v>33163.93</v>
      </c>
      <c r="O35" s="64">
        <f>O98/12</f>
        <v>34699.25</v>
      </c>
      <c r="P35" s="183"/>
      <c r="Q35" s="184">
        <v>269.8</v>
      </c>
      <c r="R35" s="185">
        <v>84133.5</v>
      </c>
      <c r="S35" s="186">
        <v>57159.99</v>
      </c>
      <c r="T35" s="56">
        <f>O35+(O38/3)+O43</f>
        <v>56074.555555555555</v>
      </c>
      <c r="U35" s="187"/>
      <c r="V35" s="188">
        <v>79249.100000000006</v>
      </c>
    </row>
    <row r="36" spans="2:23" x14ac:dyDescent="0.25">
      <c r="B36" s="370"/>
      <c r="C36" s="5" t="s">
        <v>44</v>
      </c>
      <c r="D36" s="181">
        <v>13.6</v>
      </c>
      <c r="E36" s="181">
        <v>26</v>
      </c>
      <c r="F36" s="181">
        <v>5.8</v>
      </c>
      <c r="G36" s="205">
        <v>14.8</v>
      </c>
      <c r="H36" s="332">
        <f t="shared" si="4"/>
        <v>60.2</v>
      </c>
      <c r="I36" s="328">
        <v>153</v>
      </c>
      <c r="J36" s="328">
        <f t="shared" si="5"/>
        <v>213.2</v>
      </c>
      <c r="K36" s="326">
        <v>90409.3</v>
      </c>
      <c r="L36" s="190">
        <v>3635.41</v>
      </c>
      <c r="M36" s="189">
        <v>7350</v>
      </c>
      <c r="N36" s="182">
        <v>54026.54</v>
      </c>
      <c r="O36" s="334">
        <v>29742.17</v>
      </c>
      <c r="P36" s="183"/>
      <c r="Q36" s="184">
        <v>494.8</v>
      </c>
      <c r="R36" s="185">
        <v>160306</v>
      </c>
      <c r="S36" s="186">
        <v>104734.13</v>
      </c>
      <c r="T36" s="56">
        <f>O36+O39+(O38/3)+O45</f>
        <v>81197.47555555556</v>
      </c>
      <c r="U36" s="187"/>
      <c r="V36" s="188">
        <v>65286.95</v>
      </c>
    </row>
    <row r="37" spans="2:23" x14ac:dyDescent="0.25">
      <c r="B37" s="370"/>
      <c r="C37" s="5" t="s">
        <v>47</v>
      </c>
      <c r="D37" s="181">
        <v>0</v>
      </c>
      <c r="E37" s="181">
        <v>0</v>
      </c>
      <c r="F37" s="181">
        <v>0</v>
      </c>
      <c r="G37" s="205">
        <v>7</v>
      </c>
      <c r="H37" s="332">
        <f t="shared" si="4"/>
        <v>7</v>
      </c>
      <c r="I37" s="328">
        <v>28.4</v>
      </c>
      <c r="J37" s="328">
        <f t="shared" si="5"/>
        <v>35.4</v>
      </c>
      <c r="K37" s="325">
        <v>5250</v>
      </c>
      <c r="L37" s="6">
        <v>0</v>
      </c>
      <c r="M37" s="63">
        <v>0</v>
      </c>
      <c r="N37" s="182">
        <v>39219.730000000003</v>
      </c>
      <c r="O37" s="64">
        <f>O100/12</f>
        <v>28074.666666666668</v>
      </c>
      <c r="P37" s="183"/>
      <c r="Q37" s="184"/>
      <c r="R37" s="185"/>
      <c r="S37" s="186"/>
      <c r="T37" s="57"/>
      <c r="U37" s="187"/>
      <c r="V37" s="188"/>
    </row>
    <row r="38" spans="2:23" x14ac:dyDescent="0.25">
      <c r="B38" s="370"/>
      <c r="C38" s="7" t="s">
        <v>85</v>
      </c>
      <c r="D38" s="181">
        <v>0</v>
      </c>
      <c r="E38" s="181">
        <v>0</v>
      </c>
      <c r="F38" s="181">
        <v>0</v>
      </c>
      <c r="G38" s="205">
        <v>21.2</v>
      </c>
      <c r="H38" s="332">
        <f t="shared" si="4"/>
        <v>21.2</v>
      </c>
      <c r="I38" s="328">
        <v>111.4</v>
      </c>
      <c r="J38" s="328">
        <f t="shared" si="5"/>
        <v>132.6</v>
      </c>
      <c r="K38" s="325">
        <v>24062.5</v>
      </c>
      <c r="L38" s="6">
        <v>2803.12</v>
      </c>
      <c r="M38" s="63">
        <v>4977.5</v>
      </c>
      <c r="N38" s="182">
        <v>13603.86</v>
      </c>
      <c r="O38" s="64">
        <f>O101/12</f>
        <v>22058.666666666668</v>
      </c>
      <c r="P38" s="183"/>
      <c r="Q38" s="191"/>
      <c r="R38" s="192"/>
      <c r="S38" s="143"/>
      <c r="T38" s="58"/>
      <c r="U38" s="193"/>
      <c r="V38" s="194"/>
    </row>
    <row r="39" spans="2:23" x14ac:dyDescent="0.25">
      <c r="B39" s="370"/>
      <c r="C39" s="7" t="s">
        <v>87</v>
      </c>
      <c r="D39" s="181">
        <v>0</v>
      </c>
      <c r="E39" s="181">
        <v>0.4</v>
      </c>
      <c r="F39" s="181">
        <v>0</v>
      </c>
      <c r="G39" s="205">
        <v>0.4</v>
      </c>
      <c r="H39" s="332">
        <f t="shared" si="4"/>
        <v>0.8</v>
      </c>
      <c r="I39" s="328">
        <v>119.8</v>
      </c>
      <c r="J39" s="328">
        <f t="shared" si="5"/>
        <v>120.6</v>
      </c>
      <c r="K39" s="325">
        <v>55725</v>
      </c>
      <c r="L39" s="6">
        <v>681.43</v>
      </c>
      <c r="M39" s="63">
        <v>4055</v>
      </c>
      <c r="N39" s="182">
        <v>34958.06</v>
      </c>
      <c r="O39" s="64">
        <f>O102/12</f>
        <v>30080</v>
      </c>
      <c r="P39" s="183"/>
      <c r="Q39" s="191"/>
      <c r="R39" s="192"/>
      <c r="S39" s="143"/>
      <c r="T39" s="58"/>
      <c r="U39" s="193"/>
      <c r="V39" s="194"/>
    </row>
    <row r="40" spans="2:23" hidden="1" x14ac:dyDescent="0.25">
      <c r="B40" s="370"/>
      <c r="C40" s="7" t="s">
        <v>199</v>
      </c>
      <c r="D40" s="181"/>
      <c r="E40" s="181"/>
      <c r="F40" s="181"/>
      <c r="G40" s="205"/>
      <c r="H40" s="332">
        <f t="shared" si="4"/>
        <v>0</v>
      </c>
      <c r="I40" s="328"/>
      <c r="J40" s="328">
        <f t="shared" si="5"/>
        <v>0</v>
      </c>
      <c r="K40" s="325"/>
      <c r="L40" s="6"/>
      <c r="M40" s="63"/>
      <c r="N40" s="182"/>
      <c r="O40" s="64"/>
      <c r="P40" s="183"/>
      <c r="Q40" s="191"/>
      <c r="R40" s="192"/>
      <c r="S40" s="143"/>
      <c r="T40" s="58"/>
      <c r="U40" s="193"/>
      <c r="V40" s="194"/>
    </row>
    <row r="41" spans="2:23" x14ac:dyDescent="0.25">
      <c r="B41" s="370"/>
      <c r="C41" s="7" t="s">
        <v>213</v>
      </c>
      <c r="D41" s="181">
        <v>0</v>
      </c>
      <c r="E41" s="181">
        <v>1.6</v>
      </c>
      <c r="F41" s="181">
        <v>0</v>
      </c>
      <c r="G41" s="205">
        <v>0</v>
      </c>
      <c r="H41" s="332">
        <f t="shared" si="4"/>
        <v>1.6</v>
      </c>
      <c r="I41" s="328">
        <v>6.2</v>
      </c>
      <c r="J41" s="328">
        <f t="shared" si="5"/>
        <v>7.8000000000000007</v>
      </c>
      <c r="K41" s="325">
        <v>5060</v>
      </c>
      <c r="L41" s="6">
        <v>0</v>
      </c>
      <c r="M41" s="63">
        <v>0</v>
      </c>
      <c r="N41" s="182">
        <v>4332.04</v>
      </c>
      <c r="O41" s="64"/>
      <c r="P41" s="183"/>
      <c r="Q41" s="191">
        <v>3.6</v>
      </c>
      <c r="R41" s="192">
        <v>1980</v>
      </c>
      <c r="S41" s="143">
        <v>1980</v>
      </c>
      <c r="T41" s="58"/>
      <c r="U41" s="193"/>
      <c r="V41" s="194"/>
    </row>
    <row r="42" spans="2:23" x14ac:dyDescent="0.25">
      <c r="B42" s="370"/>
      <c r="C42" s="7" t="s">
        <v>202</v>
      </c>
      <c r="D42" s="181">
        <v>0</v>
      </c>
      <c r="E42" s="181">
        <v>2</v>
      </c>
      <c r="F42" s="181">
        <v>0</v>
      </c>
      <c r="G42" s="205">
        <v>0</v>
      </c>
      <c r="H42" s="332">
        <f t="shared" si="4"/>
        <v>2</v>
      </c>
      <c r="I42" s="328">
        <v>13.8</v>
      </c>
      <c r="J42" s="328">
        <f t="shared" si="5"/>
        <v>15.8</v>
      </c>
      <c r="K42" s="325">
        <v>7470</v>
      </c>
      <c r="L42" s="6">
        <v>0</v>
      </c>
      <c r="M42" s="63">
        <v>540</v>
      </c>
      <c r="N42" s="182">
        <v>5850</v>
      </c>
      <c r="O42" s="64"/>
      <c r="P42" s="183"/>
      <c r="Q42" s="191">
        <v>10.199999999999999</v>
      </c>
      <c r="R42" s="192">
        <v>4115</v>
      </c>
      <c r="S42" s="143">
        <v>4115</v>
      </c>
      <c r="T42" s="58"/>
      <c r="U42" s="193"/>
      <c r="V42" s="194">
        <v>1440</v>
      </c>
    </row>
    <row r="43" spans="2:23" x14ac:dyDescent="0.25">
      <c r="B43" s="370"/>
      <c r="C43" s="7" t="s">
        <v>49</v>
      </c>
      <c r="D43" s="181">
        <v>0</v>
      </c>
      <c r="E43" s="181">
        <v>0.2</v>
      </c>
      <c r="F43" s="181">
        <v>0</v>
      </c>
      <c r="G43" s="205">
        <v>7.8</v>
      </c>
      <c r="H43" s="332">
        <f t="shared" si="4"/>
        <v>8</v>
      </c>
      <c r="I43" s="328">
        <v>117.2</v>
      </c>
      <c r="J43" s="328">
        <f t="shared" si="5"/>
        <v>125.2</v>
      </c>
      <c r="K43" s="325">
        <v>16451</v>
      </c>
      <c r="L43" s="6">
        <v>1447</v>
      </c>
      <c r="M43" s="63">
        <v>2756</v>
      </c>
      <c r="N43" s="182">
        <v>12116.44</v>
      </c>
      <c r="O43" s="64">
        <f>O106/12</f>
        <v>14022.416666666666</v>
      </c>
      <c r="P43" s="183"/>
      <c r="Q43" s="191"/>
      <c r="R43" s="192"/>
      <c r="S43" s="143"/>
      <c r="T43" s="58"/>
      <c r="U43" s="193"/>
      <c r="V43" s="194"/>
    </row>
    <row r="44" spans="2:23" x14ac:dyDescent="0.25">
      <c r="B44" s="370"/>
      <c r="C44" s="7" t="s">
        <v>48</v>
      </c>
      <c r="D44" s="181">
        <v>0</v>
      </c>
      <c r="E44" s="181">
        <v>0</v>
      </c>
      <c r="F44" s="181">
        <v>0</v>
      </c>
      <c r="G44" s="205">
        <v>35.799999999999997</v>
      </c>
      <c r="H44" s="332">
        <f t="shared" si="4"/>
        <v>35.799999999999997</v>
      </c>
      <c r="I44" s="328">
        <v>98.8</v>
      </c>
      <c r="J44" s="328">
        <f t="shared" si="5"/>
        <v>134.6</v>
      </c>
      <c r="K44" s="325">
        <v>14898</v>
      </c>
      <c r="L44" s="6">
        <v>861.49</v>
      </c>
      <c r="M44" s="63">
        <v>741</v>
      </c>
      <c r="N44" s="182">
        <v>16310.1</v>
      </c>
      <c r="O44" s="64">
        <f>O107/12</f>
        <v>14022.416666666666</v>
      </c>
      <c r="P44" s="183"/>
      <c r="Q44" s="191"/>
      <c r="R44" s="192"/>
      <c r="S44" s="143"/>
      <c r="T44" s="58"/>
      <c r="U44" s="193"/>
      <c r="V44" s="194"/>
    </row>
    <row r="45" spans="2:23" x14ac:dyDescent="0.25">
      <c r="B45" s="370"/>
      <c r="C45" s="7" t="s">
        <v>50</v>
      </c>
      <c r="D45" s="181">
        <v>0</v>
      </c>
      <c r="E45" s="181">
        <v>0.4</v>
      </c>
      <c r="F45" s="181">
        <v>0</v>
      </c>
      <c r="G45" s="205">
        <v>7.6</v>
      </c>
      <c r="H45" s="332">
        <f t="shared" si="4"/>
        <v>8</v>
      </c>
      <c r="I45" s="328">
        <v>125.2</v>
      </c>
      <c r="J45" s="328">
        <f t="shared" si="5"/>
        <v>133.19999999999999</v>
      </c>
      <c r="K45" s="325">
        <v>18041.7</v>
      </c>
      <c r="L45" s="6">
        <v>846.07</v>
      </c>
      <c r="M45" s="63">
        <v>2828</v>
      </c>
      <c r="N45" s="182">
        <v>19866.990000000002</v>
      </c>
      <c r="O45" s="64">
        <f>O108/12</f>
        <v>14022.416666666666</v>
      </c>
      <c r="P45" s="183"/>
      <c r="Q45" s="191"/>
      <c r="R45" s="192"/>
      <c r="S45" s="143"/>
      <c r="T45" s="58"/>
      <c r="U45" s="193"/>
      <c r="V45" s="194"/>
    </row>
    <row r="46" spans="2:23" x14ac:dyDescent="0.25">
      <c r="B46" s="370"/>
      <c r="C46" s="7" t="s">
        <v>68</v>
      </c>
      <c r="D46" s="181">
        <v>0</v>
      </c>
      <c r="E46" s="181">
        <v>0</v>
      </c>
      <c r="F46" s="181">
        <v>0</v>
      </c>
      <c r="G46" s="205">
        <v>109.6</v>
      </c>
      <c r="H46" s="332">
        <f t="shared" si="4"/>
        <v>109.6</v>
      </c>
      <c r="I46" s="328">
        <v>0.4</v>
      </c>
      <c r="J46" s="328">
        <f t="shared" si="5"/>
        <v>110</v>
      </c>
      <c r="K46" s="325">
        <v>0</v>
      </c>
      <c r="L46" s="6">
        <v>35</v>
      </c>
      <c r="M46" s="63">
        <v>0</v>
      </c>
      <c r="N46" s="182">
        <v>0</v>
      </c>
      <c r="O46" s="64"/>
      <c r="P46" s="183"/>
      <c r="Q46" s="191"/>
      <c r="R46" s="192"/>
      <c r="S46" s="143"/>
      <c r="T46" s="58"/>
      <c r="U46" s="193"/>
      <c r="V46" s="194"/>
    </row>
    <row r="47" spans="2:23" x14ac:dyDescent="0.25">
      <c r="B47" s="370"/>
      <c r="C47" s="7" t="s">
        <v>88</v>
      </c>
      <c r="D47" s="181">
        <v>0</v>
      </c>
      <c r="E47" s="181">
        <v>0</v>
      </c>
      <c r="F47" s="181">
        <v>0</v>
      </c>
      <c r="G47" s="205">
        <v>162.80000000000001</v>
      </c>
      <c r="H47" s="332">
        <f t="shared" si="4"/>
        <v>162.80000000000001</v>
      </c>
      <c r="I47" s="328">
        <v>0</v>
      </c>
      <c r="J47" s="328">
        <f t="shared" si="5"/>
        <v>162.80000000000001</v>
      </c>
      <c r="K47" s="325">
        <v>0</v>
      </c>
      <c r="L47" s="6">
        <v>25</v>
      </c>
      <c r="M47" s="63">
        <v>0</v>
      </c>
      <c r="N47" s="182">
        <v>0</v>
      </c>
      <c r="O47" s="64"/>
      <c r="P47" s="183"/>
      <c r="Q47" s="191"/>
      <c r="R47" s="192"/>
      <c r="S47" s="143"/>
      <c r="T47" s="58"/>
      <c r="U47" s="193"/>
      <c r="V47" s="194"/>
    </row>
    <row r="48" spans="2:23" x14ac:dyDescent="0.25">
      <c r="B48" s="370"/>
      <c r="C48" s="7" t="s">
        <v>69</v>
      </c>
      <c r="D48" s="181">
        <v>0</v>
      </c>
      <c r="E48" s="181">
        <v>0</v>
      </c>
      <c r="F48" s="181">
        <v>0</v>
      </c>
      <c r="G48" s="205">
        <v>77.599999999999994</v>
      </c>
      <c r="H48" s="332">
        <f t="shared" si="4"/>
        <v>77.599999999999994</v>
      </c>
      <c r="I48" s="328">
        <v>0</v>
      </c>
      <c r="J48" s="328">
        <f t="shared" si="5"/>
        <v>77.599999999999994</v>
      </c>
      <c r="K48" s="325">
        <v>0</v>
      </c>
      <c r="L48" s="6">
        <v>0</v>
      </c>
      <c r="M48" s="63">
        <v>0</v>
      </c>
      <c r="N48" s="182">
        <v>0</v>
      </c>
      <c r="O48" s="64"/>
      <c r="P48" s="183"/>
      <c r="Q48" s="191"/>
      <c r="R48" s="192"/>
      <c r="S48" s="143"/>
      <c r="T48" s="58"/>
      <c r="U48" s="193"/>
      <c r="V48" s="194"/>
    </row>
    <row r="49" spans="2:22" x14ac:dyDescent="0.25">
      <c r="B49" s="370"/>
      <c r="C49" s="7" t="s">
        <v>211</v>
      </c>
      <c r="D49" s="181">
        <v>0</v>
      </c>
      <c r="E49" s="181">
        <v>152</v>
      </c>
      <c r="F49" s="181">
        <v>0</v>
      </c>
      <c r="G49" s="205">
        <v>0</v>
      </c>
      <c r="H49" s="332">
        <f t="shared" si="4"/>
        <v>152</v>
      </c>
      <c r="I49" s="328">
        <v>0</v>
      </c>
      <c r="J49" s="328">
        <f t="shared" si="5"/>
        <v>152</v>
      </c>
      <c r="K49" s="325">
        <v>0</v>
      </c>
      <c r="L49" s="6">
        <v>0</v>
      </c>
      <c r="M49" s="63">
        <v>0</v>
      </c>
      <c r="N49" s="182">
        <v>0</v>
      </c>
      <c r="O49" s="64"/>
      <c r="P49" s="183"/>
      <c r="Q49" s="191"/>
      <c r="R49" s="192"/>
      <c r="S49" s="143"/>
      <c r="T49" s="58"/>
      <c r="U49" s="193"/>
      <c r="V49" s="194"/>
    </row>
    <row r="50" spans="2:22" x14ac:dyDescent="0.25">
      <c r="B50" s="370"/>
      <c r="C50" s="7" t="s">
        <v>77</v>
      </c>
      <c r="D50" s="181">
        <v>0</v>
      </c>
      <c r="E50" s="181">
        <v>0</v>
      </c>
      <c r="F50" s="181">
        <v>0</v>
      </c>
      <c r="G50" s="205">
        <v>0</v>
      </c>
      <c r="H50" s="332">
        <f t="shared" si="4"/>
        <v>0</v>
      </c>
      <c r="I50" s="328">
        <v>1.2</v>
      </c>
      <c r="J50" s="328">
        <f t="shared" si="5"/>
        <v>1.2</v>
      </c>
      <c r="K50" s="325">
        <v>5955</v>
      </c>
      <c r="L50" s="6">
        <v>0</v>
      </c>
      <c r="M50" s="63">
        <v>0</v>
      </c>
      <c r="N50" s="182">
        <v>450</v>
      </c>
      <c r="O50" s="64"/>
      <c r="P50" s="183"/>
      <c r="Q50" s="191"/>
      <c r="R50" s="192"/>
      <c r="S50" s="143">
        <v>0</v>
      </c>
      <c r="T50" s="58"/>
      <c r="U50" s="193"/>
      <c r="V50" s="194">
        <v>0</v>
      </c>
    </row>
    <row r="51" spans="2:22" x14ac:dyDescent="0.25">
      <c r="B51" s="370"/>
      <c r="C51" s="7" t="s">
        <v>46</v>
      </c>
      <c r="D51" s="181"/>
      <c r="E51" s="181"/>
      <c r="F51" s="181"/>
      <c r="G51" s="205"/>
      <c r="H51" s="332">
        <f t="shared" si="4"/>
        <v>0</v>
      </c>
      <c r="I51" s="328"/>
      <c r="J51" s="328">
        <f t="shared" si="5"/>
        <v>0</v>
      </c>
      <c r="K51" s="325">
        <v>0</v>
      </c>
      <c r="L51" s="6">
        <v>3600</v>
      </c>
      <c r="M51" s="63">
        <v>0</v>
      </c>
      <c r="N51" s="182">
        <v>5527.5</v>
      </c>
      <c r="O51" s="64"/>
      <c r="P51" s="183"/>
      <c r="Q51" s="191"/>
      <c r="R51" s="192"/>
      <c r="S51" s="143"/>
      <c r="T51" s="58"/>
      <c r="U51" s="193"/>
      <c r="V51" s="194">
        <v>6316.07</v>
      </c>
    </row>
    <row r="52" spans="2:22" x14ac:dyDescent="0.25">
      <c r="B52" s="370"/>
      <c r="C52" s="7" t="s">
        <v>45</v>
      </c>
      <c r="D52" s="181"/>
      <c r="E52" s="181"/>
      <c r="F52" s="181"/>
      <c r="G52" s="205"/>
      <c r="H52" s="332">
        <f t="shared" si="4"/>
        <v>0</v>
      </c>
      <c r="I52" s="328"/>
      <c r="J52" s="328">
        <f t="shared" si="5"/>
        <v>0</v>
      </c>
      <c r="K52" s="325">
        <v>0</v>
      </c>
      <c r="L52" s="6">
        <v>0</v>
      </c>
      <c r="M52" s="63">
        <v>0</v>
      </c>
      <c r="N52" s="182">
        <v>18.95</v>
      </c>
      <c r="O52" s="64"/>
      <c r="P52" s="183"/>
      <c r="Q52" s="191"/>
      <c r="R52" s="192"/>
      <c r="S52" s="143"/>
      <c r="T52" s="58"/>
      <c r="U52" s="193"/>
      <c r="V52" s="194"/>
    </row>
    <row r="53" spans="2:22" hidden="1" x14ac:dyDescent="0.25">
      <c r="B53" s="370"/>
      <c r="C53" s="7" t="s">
        <v>74</v>
      </c>
      <c r="D53" s="181"/>
      <c r="E53" s="181"/>
      <c r="F53" s="181"/>
      <c r="G53" s="205"/>
      <c r="H53" s="332">
        <f t="shared" si="4"/>
        <v>0</v>
      </c>
      <c r="I53" s="328"/>
      <c r="J53" s="328">
        <f t="shared" si="5"/>
        <v>0</v>
      </c>
      <c r="K53" s="325"/>
      <c r="L53" s="6"/>
      <c r="M53" s="318"/>
      <c r="N53" s="319">
        <v>0</v>
      </c>
      <c r="O53" s="64"/>
      <c r="P53" s="183"/>
      <c r="Q53" s="191"/>
      <c r="R53" s="320"/>
      <c r="S53" s="321"/>
      <c r="T53" s="58"/>
      <c r="U53" s="193"/>
      <c r="V53" s="194"/>
    </row>
    <row r="54" spans="2:22" x14ac:dyDescent="0.25">
      <c r="B54" s="370"/>
      <c r="C54" s="7" t="s">
        <v>52</v>
      </c>
      <c r="D54" s="181"/>
      <c r="E54" s="181"/>
      <c r="F54" s="181"/>
      <c r="G54" s="205"/>
      <c r="H54" s="332">
        <f t="shared" si="4"/>
        <v>0</v>
      </c>
      <c r="I54" s="328"/>
      <c r="J54" s="328">
        <f t="shared" si="5"/>
        <v>0</v>
      </c>
      <c r="K54" s="325">
        <v>315</v>
      </c>
      <c r="L54" s="6">
        <v>0</v>
      </c>
      <c r="M54" s="318">
        <v>0</v>
      </c>
      <c r="N54" s="319"/>
      <c r="O54" s="64"/>
      <c r="P54" s="183"/>
      <c r="Q54" s="191"/>
      <c r="R54" s="320"/>
      <c r="S54" s="321"/>
      <c r="T54" s="58"/>
      <c r="U54" s="193"/>
      <c r="V54" s="194"/>
    </row>
    <row r="55" spans="2:22" x14ac:dyDescent="0.25">
      <c r="B55" s="370"/>
      <c r="C55" s="7" t="s">
        <v>51</v>
      </c>
      <c r="D55" s="181"/>
      <c r="E55" s="181"/>
      <c r="F55" s="181"/>
      <c r="G55" s="205"/>
      <c r="H55" s="332">
        <f t="shared" si="4"/>
        <v>0</v>
      </c>
      <c r="I55" s="328"/>
      <c r="J55" s="328">
        <f t="shared" si="5"/>
        <v>0</v>
      </c>
      <c r="K55" s="325">
        <v>630</v>
      </c>
      <c r="L55" s="6">
        <v>0</v>
      </c>
      <c r="M55" s="318">
        <v>210</v>
      </c>
      <c r="N55" s="319">
        <v>840</v>
      </c>
      <c r="O55" s="64"/>
      <c r="P55" s="183"/>
      <c r="Q55" s="191"/>
      <c r="R55" s="320"/>
      <c r="S55" s="321"/>
      <c r="T55" s="58"/>
      <c r="U55" s="193"/>
      <c r="V55" s="194"/>
    </row>
    <row r="56" spans="2:22" x14ac:dyDescent="0.25">
      <c r="B56" s="370"/>
      <c r="C56" s="7" t="s">
        <v>71</v>
      </c>
      <c r="D56" s="181"/>
      <c r="E56" s="181"/>
      <c r="F56" s="181"/>
      <c r="G56" s="205"/>
      <c r="H56" s="332">
        <f t="shared" si="4"/>
        <v>0</v>
      </c>
      <c r="I56" s="328"/>
      <c r="J56" s="328">
        <f t="shared" si="5"/>
        <v>0</v>
      </c>
      <c r="K56" s="325">
        <v>0</v>
      </c>
      <c r="L56" s="6">
        <v>0</v>
      </c>
      <c r="M56" s="318">
        <v>0</v>
      </c>
      <c r="N56" s="319">
        <v>780</v>
      </c>
      <c r="O56" s="64"/>
      <c r="P56" s="183"/>
      <c r="Q56" s="191"/>
      <c r="R56" s="320"/>
      <c r="S56" s="321"/>
      <c r="T56" s="58"/>
      <c r="U56" s="193"/>
      <c r="V56" s="194"/>
    </row>
    <row r="57" spans="2:22" hidden="1" x14ac:dyDescent="0.25">
      <c r="B57" s="370"/>
      <c r="C57" s="7" t="s">
        <v>72</v>
      </c>
      <c r="D57" s="181"/>
      <c r="E57" s="181"/>
      <c r="F57" s="181"/>
      <c r="G57" s="205"/>
      <c r="H57" s="332">
        <f t="shared" si="4"/>
        <v>0</v>
      </c>
      <c r="I57" s="328"/>
      <c r="J57" s="328">
        <f t="shared" si="5"/>
        <v>0</v>
      </c>
      <c r="K57" s="325"/>
      <c r="L57" s="6"/>
      <c r="M57" s="318"/>
      <c r="N57" s="319"/>
      <c r="O57" s="64"/>
      <c r="P57" s="183"/>
      <c r="Q57" s="191"/>
      <c r="R57" s="320"/>
      <c r="S57" s="321"/>
      <c r="T57" s="58"/>
      <c r="U57" s="193"/>
      <c r="V57" s="194"/>
    </row>
    <row r="58" spans="2:22" x14ac:dyDescent="0.25">
      <c r="B58" s="370"/>
      <c r="C58" s="7" t="s">
        <v>70</v>
      </c>
      <c r="D58" s="181"/>
      <c r="E58" s="181"/>
      <c r="F58" s="181"/>
      <c r="G58" s="205"/>
      <c r="H58" s="332">
        <f t="shared" si="4"/>
        <v>0</v>
      </c>
      <c r="I58" s="328"/>
      <c r="J58" s="328">
        <f t="shared" si="5"/>
        <v>0</v>
      </c>
      <c r="K58" s="325">
        <v>60</v>
      </c>
      <c r="L58" s="6">
        <v>0</v>
      </c>
      <c r="M58" s="318">
        <v>0</v>
      </c>
      <c r="N58" s="319">
        <v>1140</v>
      </c>
      <c r="O58" s="64"/>
      <c r="P58" s="183"/>
      <c r="Q58" s="191"/>
      <c r="R58" s="320"/>
      <c r="S58" s="321"/>
      <c r="T58" s="58"/>
      <c r="U58" s="193"/>
      <c r="V58" s="194"/>
    </row>
    <row r="59" spans="2:22" hidden="1" x14ac:dyDescent="0.25">
      <c r="B59" s="370"/>
      <c r="C59" s="7" t="s">
        <v>73</v>
      </c>
      <c r="D59" s="181"/>
      <c r="E59" s="181"/>
      <c r="F59" s="181"/>
      <c r="G59" s="205"/>
      <c r="H59" s="332">
        <f t="shared" si="4"/>
        <v>0</v>
      </c>
      <c r="I59" s="328"/>
      <c r="J59" s="328">
        <f t="shared" si="5"/>
        <v>0</v>
      </c>
      <c r="K59" s="325"/>
      <c r="L59" s="6"/>
      <c r="M59" s="63"/>
      <c r="N59" s="182">
        <v>0</v>
      </c>
      <c r="O59" s="64"/>
      <c r="P59" s="183"/>
      <c r="Q59" s="191"/>
      <c r="R59" s="192"/>
      <c r="S59" s="143"/>
      <c r="T59" s="58"/>
      <c r="U59" s="193"/>
      <c r="V59" s="194"/>
    </row>
    <row r="60" spans="2:22" x14ac:dyDescent="0.25">
      <c r="B60" s="370"/>
      <c r="C60" s="8" t="s">
        <v>212</v>
      </c>
      <c r="D60" s="195"/>
      <c r="E60" s="195"/>
      <c r="F60" s="195"/>
      <c r="G60" s="195"/>
      <c r="H60" s="331">
        <f t="shared" si="4"/>
        <v>0</v>
      </c>
      <c r="I60" s="331"/>
      <c r="J60" s="329">
        <f t="shared" si="5"/>
        <v>0</v>
      </c>
      <c r="K60" s="119"/>
      <c r="L60" s="43"/>
      <c r="M60" s="119"/>
      <c r="N60" s="196"/>
      <c r="O60" s="120"/>
      <c r="P60" s="183"/>
      <c r="Q60" s="197"/>
      <c r="R60" s="198"/>
      <c r="S60" s="199"/>
      <c r="T60" s="59"/>
      <c r="U60" s="193"/>
      <c r="V60" s="200"/>
    </row>
    <row r="61" spans="2:22" ht="15.75" thickBot="1" x14ac:dyDescent="0.3">
      <c r="B61" s="371"/>
      <c r="C61" s="9"/>
      <c r="D61" s="10">
        <f t="shared" ref="D61:O61" si="6">SUM(D34:D60)</f>
        <v>22.6</v>
      </c>
      <c r="E61" s="323">
        <f t="shared" si="6"/>
        <v>218.2</v>
      </c>
      <c r="F61" s="323">
        <f t="shared" si="6"/>
        <v>5.8</v>
      </c>
      <c r="G61" s="322">
        <f t="shared" si="6"/>
        <v>515.19999999999993</v>
      </c>
      <c r="H61" s="65">
        <f t="shared" si="6"/>
        <v>761.80000000000007</v>
      </c>
      <c r="I61" s="10">
        <f t="shared" si="6"/>
        <v>1134.8</v>
      </c>
      <c r="J61" s="324">
        <f t="shared" si="6"/>
        <v>1896.5999999999997</v>
      </c>
      <c r="K61" s="201">
        <f t="shared" si="6"/>
        <v>369672.5</v>
      </c>
      <c r="L61" s="202">
        <f t="shared" si="6"/>
        <v>18253.91</v>
      </c>
      <c r="M61" s="11">
        <f t="shared" si="6"/>
        <v>30827.5</v>
      </c>
      <c r="N61" s="203">
        <f t="shared" si="6"/>
        <v>292452.88</v>
      </c>
      <c r="O61" s="46">
        <f t="shared" si="6"/>
        <v>223073.58666666664</v>
      </c>
      <c r="P61" s="20"/>
      <c r="Q61" s="60">
        <f>SUM(Q34:Q60)</f>
        <v>1106.8</v>
      </c>
      <c r="R61" s="44">
        <f>SUM(R34:R60)</f>
        <v>369672.5</v>
      </c>
      <c r="S61" s="12">
        <f>SUM(S34:S60)</f>
        <v>292452.88</v>
      </c>
      <c r="T61" s="61">
        <f>SUM(T34:T60)</f>
        <v>223073.58666666667</v>
      </c>
      <c r="U61" s="55"/>
      <c r="V61" s="204">
        <f>SUM(V34:V60)</f>
        <v>292452.88</v>
      </c>
    </row>
    <row r="62" spans="2:22" ht="15.75" thickTop="1" x14ac:dyDescent="0.25"/>
    <row r="63" spans="2:22" ht="15.75" thickBot="1" x14ac:dyDescent="0.3"/>
    <row r="64" spans="2:22" ht="15.75" thickTop="1" x14ac:dyDescent="0.25">
      <c r="B64" s="369" t="s">
        <v>76</v>
      </c>
      <c r="C64" s="170" t="s">
        <v>42</v>
      </c>
      <c r="D64" s="311">
        <v>4.8</v>
      </c>
      <c r="E64" s="171">
        <v>17.8</v>
      </c>
      <c r="F64" s="171">
        <v>0</v>
      </c>
      <c r="G64" s="171">
        <v>48</v>
      </c>
      <c r="H64" s="330">
        <f t="shared" ref="H64:H93" si="7">SUM(D64:G64)</f>
        <v>70.599999999999994</v>
      </c>
      <c r="I64" s="330">
        <v>250</v>
      </c>
      <c r="J64" s="327">
        <f>H64+I64</f>
        <v>320.60000000000002</v>
      </c>
      <c r="K64" s="172">
        <v>89218.57</v>
      </c>
      <c r="L64" s="62">
        <v>15073.43</v>
      </c>
      <c r="M64" s="172">
        <v>9131.43</v>
      </c>
      <c r="N64" s="173">
        <v>70032.11</v>
      </c>
      <c r="O64" s="335">
        <f>O97/12</f>
        <v>36351.583333333336</v>
      </c>
      <c r="P64" s="21"/>
      <c r="Q64" s="174">
        <v>541.6</v>
      </c>
      <c r="R64" s="175">
        <v>171336.23</v>
      </c>
      <c r="S64" s="176">
        <v>133942.10999999999</v>
      </c>
      <c r="T64" s="177">
        <f>O64+O67+(O68/3)+O75</f>
        <v>85801.555555555562</v>
      </c>
      <c r="U64" s="178"/>
      <c r="V64" s="179">
        <v>129319.06</v>
      </c>
    </row>
    <row r="65" spans="2:22" x14ac:dyDescent="0.25">
      <c r="B65" s="370"/>
      <c r="C65" s="5" t="s">
        <v>43</v>
      </c>
      <c r="D65" s="181">
        <v>2.6</v>
      </c>
      <c r="E65" s="181">
        <v>15</v>
      </c>
      <c r="F65" s="181">
        <v>1.6</v>
      </c>
      <c r="G65" s="205">
        <v>13</v>
      </c>
      <c r="H65" s="332">
        <f t="shared" si="7"/>
        <v>32.200000000000003</v>
      </c>
      <c r="I65" s="328">
        <v>169.8</v>
      </c>
      <c r="J65" s="328">
        <f t="shared" ref="J65:J93" si="8">H65+I65</f>
        <v>202</v>
      </c>
      <c r="K65" s="325">
        <v>42770</v>
      </c>
      <c r="L65" s="6">
        <v>7354.93</v>
      </c>
      <c r="M65" s="63">
        <v>8675</v>
      </c>
      <c r="N65" s="182">
        <v>26798.880000000001</v>
      </c>
      <c r="O65" s="64">
        <f>O98/12</f>
        <v>34699.25</v>
      </c>
      <c r="P65" s="183"/>
      <c r="Q65" s="184">
        <v>256.60000000000002</v>
      </c>
      <c r="R65" s="185">
        <v>69723</v>
      </c>
      <c r="S65" s="186">
        <v>45719.16</v>
      </c>
      <c r="T65" s="56">
        <f>O65+(O68/3)+O74+O71</f>
        <v>67169.595555555556</v>
      </c>
      <c r="U65" s="187"/>
      <c r="V65" s="188">
        <v>71187.42</v>
      </c>
    </row>
    <row r="66" spans="2:22" x14ac:dyDescent="0.25">
      <c r="B66" s="370"/>
      <c r="C66" s="5" t="s">
        <v>44</v>
      </c>
      <c r="D66" s="181">
        <v>37.799999999999997</v>
      </c>
      <c r="E66" s="181">
        <v>15.6</v>
      </c>
      <c r="F66" s="181">
        <v>6.6</v>
      </c>
      <c r="G66" s="205">
        <v>24.4</v>
      </c>
      <c r="H66" s="332">
        <f t="shared" si="7"/>
        <v>84.4</v>
      </c>
      <c r="I66" s="328">
        <v>212</v>
      </c>
      <c r="J66" s="328">
        <f t="shared" si="8"/>
        <v>296.39999999999998</v>
      </c>
      <c r="K66" s="326">
        <v>92265</v>
      </c>
      <c r="L66" s="190">
        <v>5596.83</v>
      </c>
      <c r="M66" s="189">
        <v>4580</v>
      </c>
      <c r="N66" s="182">
        <v>82151.28</v>
      </c>
      <c r="O66" s="334">
        <v>29742.17</v>
      </c>
      <c r="P66" s="183"/>
      <c r="Q66" s="184">
        <v>489.2</v>
      </c>
      <c r="R66" s="185">
        <v>145283</v>
      </c>
      <c r="S66" s="186">
        <v>136974.54999999999</v>
      </c>
      <c r="T66" s="56">
        <f>O66+O69+(O68/3)+O76</f>
        <v>81197.47555555556</v>
      </c>
      <c r="U66" s="187"/>
      <c r="V66" s="188">
        <v>109615.39</v>
      </c>
    </row>
    <row r="67" spans="2:22" x14ac:dyDescent="0.25">
      <c r="B67" s="370"/>
      <c r="C67" s="5" t="s">
        <v>47</v>
      </c>
      <c r="D67" s="181">
        <v>0</v>
      </c>
      <c r="E67" s="181">
        <v>0</v>
      </c>
      <c r="F67" s="181">
        <v>0</v>
      </c>
      <c r="G67" s="205">
        <v>18.8</v>
      </c>
      <c r="H67" s="332">
        <f t="shared" si="7"/>
        <v>18.8</v>
      </c>
      <c r="I67" s="328">
        <v>133.80000000000001</v>
      </c>
      <c r="J67" s="328">
        <f t="shared" si="8"/>
        <v>152.60000000000002</v>
      </c>
      <c r="K67" s="325">
        <v>34387.5</v>
      </c>
      <c r="L67" s="6">
        <v>341.04</v>
      </c>
      <c r="M67" s="63">
        <v>4532.5</v>
      </c>
      <c r="N67" s="182">
        <v>26231.11</v>
      </c>
      <c r="O67" s="64">
        <f>O100/12</f>
        <v>28074.666666666668</v>
      </c>
      <c r="P67" s="183"/>
      <c r="Q67" s="184"/>
      <c r="R67" s="185"/>
      <c r="S67" s="186"/>
      <c r="T67" s="57"/>
      <c r="U67" s="187"/>
      <c r="V67" s="188"/>
    </row>
    <row r="68" spans="2:22" x14ac:dyDescent="0.25">
      <c r="B68" s="370"/>
      <c r="C68" s="7" t="s">
        <v>85</v>
      </c>
      <c r="D68" s="181">
        <v>0</v>
      </c>
      <c r="E68" s="181">
        <v>0.8</v>
      </c>
      <c r="F68" s="181">
        <v>0</v>
      </c>
      <c r="G68" s="205">
        <v>29.6</v>
      </c>
      <c r="H68" s="332">
        <f t="shared" si="7"/>
        <v>30.400000000000002</v>
      </c>
      <c r="I68" s="328">
        <v>113.4</v>
      </c>
      <c r="J68" s="328">
        <f t="shared" si="8"/>
        <v>143.80000000000001</v>
      </c>
      <c r="K68" s="325">
        <v>29180.53</v>
      </c>
      <c r="L68" s="6">
        <v>14677.74</v>
      </c>
      <c r="M68" s="63">
        <v>4919.47</v>
      </c>
      <c r="N68" s="182">
        <v>15844.73</v>
      </c>
      <c r="O68" s="64">
        <f>O101/12</f>
        <v>22058.666666666668</v>
      </c>
      <c r="P68" s="183"/>
      <c r="Q68" s="191"/>
      <c r="R68" s="192"/>
      <c r="S68" s="143"/>
      <c r="T68" s="58"/>
      <c r="U68" s="193"/>
      <c r="V68" s="194"/>
    </row>
    <row r="69" spans="2:22" x14ac:dyDescent="0.25">
      <c r="B69" s="370"/>
      <c r="C69" s="7" t="s">
        <v>87</v>
      </c>
      <c r="D69" s="181">
        <v>0</v>
      </c>
      <c r="E69" s="181">
        <v>0</v>
      </c>
      <c r="F69" s="181">
        <v>0</v>
      </c>
      <c r="G69" s="205">
        <v>5.6</v>
      </c>
      <c r="H69" s="332">
        <f t="shared" si="7"/>
        <v>5.6</v>
      </c>
      <c r="I69" s="328">
        <v>111.4</v>
      </c>
      <c r="J69" s="328">
        <f t="shared" si="8"/>
        <v>117</v>
      </c>
      <c r="K69" s="325">
        <v>39685</v>
      </c>
      <c r="L69" s="6">
        <v>984.26</v>
      </c>
      <c r="M69" s="63">
        <v>4880</v>
      </c>
      <c r="N69" s="182">
        <v>41557.85</v>
      </c>
      <c r="O69" s="64">
        <f>O102/12</f>
        <v>30080</v>
      </c>
      <c r="P69" s="183"/>
      <c r="Q69" s="191"/>
      <c r="R69" s="192"/>
      <c r="S69" s="143"/>
      <c r="T69" s="58"/>
      <c r="U69" s="193"/>
      <c r="V69" s="194"/>
    </row>
    <row r="70" spans="2:22" hidden="1" x14ac:dyDescent="0.25">
      <c r="B70" s="370"/>
      <c r="C70" s="7" t="s">
        <v>199</v>
      </c>
      <c r="D70" s="181"/>
      <c r="E70" s="181"/>
      <c r="F70" s="181"/>
      <c r="G70" s="205"/>
      <c r="H70" s="332">
        <f t="shared" si="7"/>
        <v>0</v>
      </c>
      <c r="I70" s="328"/>
      <c r="J70" s="328">
        <f t="shared" si="8"/>
        <v>0</v>
      </c>
      <c r="K70" s="325"/>
      <c r="L70" s="6"/>
      <c r="M70" s="63"/>
      <c r="N70" s="182"/>
      <c r="O70" s="64"/>
      <c r="P70" s="183"/>
      <c r="Q70" s="191"/>
      <c r="R70" s="192"/>
      <c r="S70" s="143"/>
      <c r="T70" s="58"/>
      <c r="U70" s="193"/>
      <c r="V70" s="194"/>
    </row>
    <row r="71" spans="2:22" x14ac:dyDescent="0.25">
      <c r="B71" s="370"/>
      <c r="C71" s="7" t="s">
        <v>199</v>
      </c>
      <c r="D71" s="181">
        <v>0</v>
      </c>
      <c r="E71" s="181">
        <v>1.4</v>
      </c>
      <c r="F71" s="181">
        <v>1</v>
      </c>
      <c r="G71" s="205">
        <v>23.4</v>
      </c>
      <c r="H71" s="332">
        <f t="shared" si="7"/>
        <v>25.799999999999997</v>
      </c>
      <c r="I71" s="399">
        <v>72.8</v>
      </c>
      <c r="J71" s="399">
        <f t="shared" si="8"/>
        <v>98.6</v>
      </c>
      <c r="K71" s="318">
        <v>3685</v>
      </c>
      <c r="L71" s="6">
        <v>0</v>
      </c>
      <c r="M71" s="318">
        <v>6930</v>
      </c>
      <c r="N71" s="319">
        <v>3465</v>
      </c>
      <c r="O71" s="64">
        <f>22190.08/2</f>
        <v>11095.04</v>
      </c>
      <c r="P71" s="183"/>
      <c r="Q71" s="191"/>
      <c r="R71" s="320"/>
      <c r="S71" s="321"/>
      <c r="T71" s="58"/>
      <c r="U71" s="193"/>
      <c r="V71" s="194"/>
    </row>
    <row r="72" spans="2:22" x14ac:dyDescent="0.25">
      <c r="B72" s="370"/>
      <c r="C72" s="7" t="s">
        <v>213</v>
      </c>
      <c r="D72" s="181">
        <v>0</v>
      </c>
      <c r="E72" s="181">
        <v>6</v>
      </c>
      <c r="F72" s="181">
        <v>0</v>
      </c>
      <c r="G72" s="205">
        <v>0</v>
      </c>
      <c r="H72" s="332">
        <f t="shared" si="7"/>
        <v>6</v>
      </c>
      <c r="I72" s="328">
        <v>13.4</v>
      </c>
      <c r="J72" s="328">
        <f t="shared" si="8"/>
        <v>19.399999999999999</v>
      </c>
      <c r="K72" s="325">
        <v>4620</v>
      </c>
      <c r="L72" s="6">
        <v>550</v>
      </c>
      <c r="M72" s="63">
        <v>880</v>
      </c>
      <c r="N72" s="182">
        <v>1623.84</v>
      </c>
      <c r="O72" s="64"/>
      <c r="P72" s="183"/>
      <c r="Q72" s="191">
        <v>4.4000000000000004</v>
      </c>
      <c r="R72" s="192">
        <v>2420</v>
      </c>
      <c r="S72" s="143">
        <v>520</v>
      </c>
      <c r="T72" s="58"/>
      <c r="U72" s="193"/>
      <c r="V72" s="194"/>
    </row>
    <row r="73" spans="2:22" x14ac:dyDescent="0.25">
      <c r="B73" s="370"/>
      <c r="C73" s="7" t="s">
        <v>202</v>
      </c>
      <c r="D73" s="181">
        <v>0</v>
      </c>
      <c r="E73" s="181">
        <v>2.6</v>
      </c>
      <c r="F73" s="181">
        <v>0</v>
      </c>
      <c r="G73" s="205">
        <v>0</v>
      </c>
      <c r="H73" s="332">
        <f t="shared" si="7"/>
        <v>2.6</v>
      </c>
      <c r="I73" s="328">
        <v>28.6</v>
      </c>
      <c r="J73" s="328">
        <f t="shared" si="8"/>
        <v>31.200000000000003</v>
      </c>
      <c r="K73" s="325">
        <v>4590</v>
      </c>
      <c r="L73" s="6">
        <v>1407.76</v>
      </c>
      <c r="M73" s="63">
        <v>2700</v>
      </c>
      <c r="N73" s="182">
        <v>3632.24</v>
      </c>
      <c r="O73" s="64"/>
      <c r="P73" s="183"/>
      <c r="Q73" s="191">
        <v>7</v>
      </c>
      <c r="R73" s="192">
        <v>3139</v>
      </c>
      <c r="S73" s="143">
        <v>3078</v>
      </c>
      <c r="T73" s="58"/>
      <c r="U73" s="193"/>
      <c r="V73" s="194"/>
    </row>
    <row r="74" spans="2:22" x14ac:dyDescent="0.25">
      <c r="B74" s="370"/>
      <c r="C74" s="7" t="s">
        <v>49</v>
      </c>
      <c r="D74" s="181">
        <v>0</v>
      </c>
      <c r="E74" s="181">
        <v>0.2</v>
      </c>
      <c r="F74" s="181">
        <v>0</v>
      </c>
      <c r="G74" s="205">
        <v>26</v>
      </c>
      <c r="H74" s="332">
        <f t="shared" si="7"/>
        <v>26.2</v>
      </c>
      <c r="I74" s="328">
        <v>92.8</v>
      </c>
      <c r="J74" s="328">
        <f t="shared" si="8"/>
        <v>119</v>
      </c>
      <c r="K74" s="325">
        <v>10702</v>
      </c>
      <c r="L74" s="6">
        <v>2781.82</v>
      </c>
      <c r="M74" s="63">
        <v>3986</v>
      </c>
      <c r="N74" s="182">
        <v>8661.17</v>
      </c>
      <c r="O74" s="64">
        <f>O106/12</f>
        <v>14022.416666666666</v>
      </c>
      <c r="P74" s="183"/>
      <c r="Q74" s="191"/>
      <c r="R74" s="192"/>
      <c r="S74" s="143"/>
      <c r="T74" s="58"/>
      <c r="U74" s="193"/>
      <c r="V74" s="194"/>
    </row>
    <row r="75" spans="2:22" x14ac:dyDescent="0.25">
      <c r="B75" s="370"/>
      <c r="C75" s="7" t="s">
        <v>48</v>
      </c>
      <c r="D75" s="181">
        <v>0</v>
      </c>
      <c r="E75" s="181">
        <v>0</v>
      </c>
      <c r="F75" s="181">
        <v>0</v>
      </c>
      <c r="G75" s="205">
        <v>25.2</v>
      </c>
      <c r="H75" s="332">
        <f t="shared" si="7"/>
        <v>25.2</v>
      </c>
      <c r="I75" s="328">
        <v>123.4</v>
      </c>
      <c r="J75" s="328">
        <f t="shared" si="8"/>
        <v>148.6</v>
      </c>
      <c r="K75" s="325">
        <v>21943.63</v>
      </c>
      <c r="L75" s="6">
        <v>7393.84</v>
      </c>
      <c r="M75" s="63">
        <v>4343.37</v>
      </c>
      <c r="N75" s="182">
        <v>17093</v>
      </c>
      <c r="O75" s="64">
        <f>O107/12</f>
        <v>14022.416666666666</v>
      </c>
      <c r="P75" s="183"/>
      <c r="Q75" s="191"/>
      <c r="R75" s="192"/>
      <c r="S75" s="143"/>
      <c r="T75" s="58"/>
      <c r="U75" s="193"/>
      <c r="V75" s="194"/>
    </row>
    <row r="76" spans="2:22" x14ac:dyDescent="0.25">
      <c r="B76" s="370"/>
      <c r="C76" s="7" t="s">
        <v>50</v>
      </c>
      <c r="D76" s="181">
        <v>0</v>
      </c>
      <c r="E76" s="181">
        <v>1.2</v>
      </c>
      <c r="F76" s="181">
        <v>0</v>
      </c>
      <c r="G76" s="205">
        <v>15.4</v>
      </c>
      <c r="H76" s="332">
        <f t="shared" si="7"/>
        <v>16.600000000000001</v>
      </c>
      <c r="I76" s="328">
        <v>129.6</v>
      </c>
      <c r="J76" s="328">
        <f t="shared" si="8"/>
        <v>146.19999999999999</v>
      </c>
      <c r="K76" s="325">
        <v>14066</v>
      </c>
      <c r="L76" s="6">
        <v>1394.51</v>
      </c>
      <c r="M76" s="63">
        <v>4068</v>
      </c>
      <c r="N76" s="182">
        <v>12325.44</v>
      </c>
      <c r="O76" s="64">
        <f>O108/12</f>
        <v>14022.416666666666</v>
      </c>
      <c r="P76" s="183"/>
      <c r="Q76" s="191"/>
      <c r="R76" s="192"/>
      <c r="S76" s="143"/>
      <c r="T76" s="58"/>
      <c r="U76" s="193"/>
      <c r="V76" s="194"/>
    </row>
    <row r="77" spans="2:22" x14ac:dyDescent="0.25">
      <c r="B77" s="370"/>
      <c r="C77" s="7" t="s">
        <v>68</v>
      </c>
      <c r="D77" s="181">
        <v>0</v>
      </c>
      <c r="E77" s="181">
        <v>0</v>
      </c>
      <c r="F77" s="181">
        <v>0</v>
      </c>
      <c r="G77" s="205">
        <v>170.8</v>
      </c>
      <c r="H77" s="332">
        <f t="shared" si="7"/>
        <v>170.8</v>
      </c>
      <c r="I77" s="328">
        <v>0.4</v>
      </c>
      <c r="J77" s="328">
        <f t="shared" si="8"/>
        <v>171.20000000000002</v>
      </c>
      <c r="K77" s="325">
        <v>788</v>
      </c>
      <c r="L77" s="6">
        <v>1405.52</v>
      </c>
      <c r="M77" s="63">
        <v>788</v>
      </c>
      <c r="N77" s="182">
        <v>0</v>
      </c>
      <c r="O77" s="64"/>
      <c r="P77" s="183"/>
      <c r="Q77" s="191"/>
      <c r="R77" s="192"/>
      <c r="S77" s="143"/>
      <c r="T77" s="58"/>
      <c r="U77" s="193"/>
      <c r="V77" s="194"/>
    </row>
    <row r="78" spans="2:22" x14ac:dyDescent="0.25">
      <c r="B78" s="370"/>
      <c r="C78" s="7" t="s">
        <v>88</v>
      </c>
      <c r="D78" s="181">
        <v>0</v>
      </c>
      <c r="E78" s="181">
        <v>0</v>
      </c>
      <c r="F78" s="181">
        <v>0</v>
      </c>
      <c r="G78" s="205">
        <v>112.6</v>
      </c>
      <c r="H78" s="332">
        <f t="shared" si="7"/>
        <v>112.6</v>
      </c>
      <c r="I78" s="328">
        <v>0</v>
      </c>
      <c r="J78" s="328">
        <f t="shared" si="8"/>
        <v>112.6</v>
      </c>
      <c r="K78" s="325">
        <v>0</v>
      </c>
      <c r="L78" s="6">
        <v>122.28</v>
      </c>
      <c r="M78" s="63">
        <v>0</v>
      </c>
      <c r="N78" s="182">
        <v>0</v>
      </c>
      <c r="O78" s="64"/>
      <c r="P78" s="183"/>
      <c r="Q78" s="191"/>
      <c r="R78" s="192"/>
      <c r="S78" s="143"/>
      <c r="T78" s="58"/>
      <c r="U78" s="193"/>
      <c r="V78" s="194"/>
    </row>
    <row r="79" spans="2:22" x14ac:dyDescent="0.25">
      <c r="B79" s="370"/>
      <c r="C79" s="7" t="s">
        <v>69</v>
      </c>
      <c r="D79" s="181">
        <v>0</v>
      </c>
      <c r="E79" s="181">
        <v>0</v>
      </c>
      <c r="F79" s="181">
        <v>0</v>
      </c>
      <c r="G79" s="205">
        <v>81.8</v>
      </c>
      <c r="H79" s="332">
        <f t="shared" si="7"/>
        <v>81.8</v>
      </c>
      <c r="I79" s="328">
        <v>0</v>
      </c>
      <c r="J79" s="328">
        <f t="shared" si="8"/>
        <v>81.8</v>
      </c>
      <c r="K79" s="325">
        <v>0</v>
      </c>
      <c r="L79" s="6">
        <v>0</v>
      </c>
      <c r="M79" s="63">
        <v>0</v>
      </c>
      <c r="N79" s="182">
        <v>0</v>
      </c>
      <c r="O79" s="64"/>
      <c r="P79" s="183"/>
      <c r="Q79" s="191"/>
      <c r="R79" s="192"/>
      <c r="S79" s="143"/>
      <c r="T79" s="58"/>
      <c r="U79" s="193"/>
      <c r="V79" s="194"/>
    </row>
    <row r="80" spans="2:22" x14ac:dyDescent="0.25">
      <c r="B80" s="370"/>
      <c r="C80" s="7" t="s">
        <v>211</v>
      </c>
      <c r="D80" s="181">
        <v>0</v>
      </c>
      <c r="E80" s="181">
        <v>161.19999999999999</v>
      </c>
      <c r="F80" s="181">
        <v>0</v>
      </c>
      <c r="G80" s="205">
        <v>0</v>
      </c>
      <c r="H80" s="332">
        <f t="shared" si="7"/>
        <v>161.19999999999999</v>
      </c>
      <c r="I80" s="328">
        <v>3</v>
      </c>
      <c r="J80" s="328">
        <f t="shared" si="8"/>
        <v>164.2</v>
      </c>
      <c r="K80" s="325">
        <v>125</v>
      </c>
      <c r="L80" s="6">
        <v>51.02</v>
      </c>
      <c r="M80" s="63">
        <v>0</v>
      </c>
      <c r="N80" s="182">
        <v>125</v>
      </c>
      <c r="O80" s="64"/>
      <c r="P80" s="183"/>
      <c r="Q80" s="191"/>
      <c r="R80" s="192"/>
      <c r="S80" s="143"/>
      <c r="T80" s="58"/>
      <c r="U80" s="193"/>
      <c r="V80" s="194"/>
    </row>
    <row r="81" spans="2:22" x14ac:dyDescent="0.25">
      <c r="B81" s="370"/>
      <c r="C81" s="7" t="s">
        <v>77</v>
      </c>
      <c r="D81" s="181">
        <v>0</v>
      </c>
      <c r="E81" s="181">
        <v>0</v>
      </c>
      <c r="F81" s="181">
        <v>0</v>
      </c>
      <c r="G81" s="205">
        <v>0</v>
      </c>
      <c r="H81" s="332">
        <f t="shared" si="7"/>
        <v>0</v>
      </c>
      <c r="I81" s="328">
        <v>2.6</v>
      </c>
      <c r="J81" s="328">
        <f t="shared" si="8"/>
        <v>2.6</v>
      </c>
      <c r="K81" s="325">
        <v>975</v>
      </c>
      <c r="L81" s="6">
        <v>457.3</v>
      </c>
      <c r="M81" s="63">
        <v>0</v>
      </c>
      <c r="N81" s="182">
        <v>8657.7000000000007</v>
      </c>
      <c r="O81" s="64"/>
      <c r="P81" s="183"/>
      <c r="Q81" s="191"/>
      <c r="R81" s="192"/>
      <c r="S81" s="143"/>
      <c r="T81" s="58"/>
      <c r="U81" s="193"/>
      <c r="V81" s="194"/>
    </row>
    <row r="82" spans="2:22" x14ac:dyDescent="0.25">
      <c r="B82" s="370"/>
      <c r="C82" s="7" t="s">
        <v>46</v>
      </c>
      <c r="D82" s="181"/>
      <c r="E82" s="181"/>
      <c r="F82" s="181"/>
      <c r="G82" s="205"/>
      <c r="H82" s="332">
        <f t="shared" si="7"/>
        <v>0</v>
      </c>
      <c r="I82" s="328"/>
      <c r="J82" s="328">
        <f t="shared" si="8"/>
        <v>0</v>
      </c>
      <c r="K82" s="325">
        <v>300</v>
      </c>
      <c r="L82" s="6">
        <v>6299.08</v>
      </c>
      <c r="M82" s="63">
        <v>0</v>
      </c>
      <c r="N82" s="182">
        <v>600</v>
      </c>
      <c r="O82" s="64"/>
      <c r="P82" s="183"/>
      <c r="Q82" s="191"/>
      <c r="R82" s="192"/>
      <c r="S82" s="143"/>
      <c r="T82" s="58"/>
      <c r="U82" s="193"/>
      <c r="V82" s="194">
        <v>10111.950000000001</v>
      </c>
    </row>
    <row r="83" spans="2:22" x14ac:dyDescent="0.25">
      <c r="B83" s="370"/>
      <c r="C83" s="7" t="s">
        <v>45</v>
      </c>
      <c r="D83" s="181"/>
      <c r="E83" s="181"/>
      <c r="F83" s="181"/>
      <c r="G83" s="205"/>
      <c r="H83" s="332">
        <f t="shared" si="7"/>
        <v>0</v>
      </c>
      <c r="I83" s="328"/>
      <c r="J83" s="328">
        <f t="shared" si="8"/>
        <v>0</v>
      </c>
      <c r="K83" s="325">
        <v>0</v>
      </c>
      <c r="L83" s="6">
        <v>0</v>
      </c>
      <c r="M83" s="63">
        <v>0</v>
      </c>
      <c r="N83" s="182">
        <v>642.15</v>
      </c>
      <c r="O83" s="64"/>
      <c r="P83" s="183"/>
      <c r="Q83" s="191"/>
      <c r="R83" s="192"/>
      <c r="S83" s="143"/>
      <c r="T83" s="58"/>
      <c r="U83" s="193"/>
      <c r="V83" s="194"/>
    </row>
    <row r="84" spans="2:22" hidden="1" x14ac:dyDescent="0.25">
      <c r="B84" s="370"/>
      <c r="C84" s="7" t="s">
        <v>74</v>
      </c>
      <c r="D84" s="181"/>
      <c r="E84" s="181"/>
      <c r="F84" s="181"/>
      <c r="G84" s="205"/>
      <c r="H84" s="332">
        <f t="shared" si="7"/>
        <v>0</v>
      </c>
      <c r="I84" s="328"/>
      <c r="J84" s="328">
        <f t="shared" si="8"/>
        <v>0</v>
      </c>
      <c r="K84" s="325"/>
      <c r="L84" s="6"/>
      <c r="M84" s="318"/>
      <c r="N84" s="319">
        <v>0</v>
      </c>
      <c r="O84" s="64"/>
      <c r="P84" s="183"/>
      <c r="Q84" s="191"/>
      <c r="R84" s="320"/>
      <c r="S84" s="321"/>
      <c r="T84" s="58"/>
      <c r="U84" s="193"/>
      <c r="V84" s="194"/>
    </row>
    <row r="85" spans="2:22" x14ac:dyDescent="0.25">
      <c r="B85" s="370"/>
      <c r="C85" s="7" t="s">
        <v>52</v>
      </c>
      <c r="D85" s="181"/>
      <c r="E85" s="181"/>
      <c r="F85" s="181"/>
      <c r="G85" s="205"/>
      <c r="H85" s="332">
        <f t="shared" si="7"/>
        <v>0</v>
      </c>
      <c r="I85" s="328"/>
      <c r="J85" s="328">
        <f t="shared" si="8"/>
        <v>0</v>
      </c>
      <c r="K85" s="325">
        <v>875</v>
      </c>
      <c r="L85" s="6">
        <v>1785</v>
      </c>
      <c r="M85" s="318">
        <v>0</v>
      </c>
      <c r="N85" s="319">
        <v>0</v>
      </c>
      <c r="O85" s="64"/>
      <c r="P85" s="183"/>
      <c r="Q85" s="191"/>
      <c r="R85" s="320"/>
      <c r="S85" s="321"/>
      <c r="T85" s="58"/>
      <c r="U85" s="193"/>
      <c r="V85" s="194"/>
    </row>
    <row r="86" spans="2:22" x14ac:dyDescent="0.25">
      <c r="B86" s="370"/>
      <c r="C86" s="7" t="s">
        <v>51</v>
      </c>
      <c r="D86" s="181"/>
      <c r="E86" s="181"/>
      <c r="F86" s="181"/>
      <c r="G86" s="205"/>
      <c r="H86" s="332">
        <f t="shared" si="7"/>
        <v>0</v>
      </c>
      <c r="I86" s="328"/>
      <c r="J86" s="328">
        <f t="shared" si="8"/>
        <v>0</v>
      </c>
      <c r="K86" s="325">
        <v>35</v>
      </c>
      <c r="L86" s="6">
        <v>165</v>
      </c>
      <c r="M86" s="318">
        <v>70</v>
      </c>
      <c r="N86" s="319">
        <v>675</v>
      </c>
      <c r="O86" s="64"/>
      <c r="P86" s="183"/>
      <c r="Q86" s="191"/>
      <c r="R86" s="320"/>
      <c r="S86" s="321"/>
      <c r="T86" s="58"/>
      <c r="U86" s="193"/>
      <c r="V86" s="194"/>
    </row>
    <row r="87" spans="2:22" x14ac:dyDescent="0.25">
      <c r="B87" s="370"/>
      <c r="C87" s="7" t="s">
        <v>71</v>
      </c>
      <c r="D87" s="181"/>
      <c r="E87" s="181"/>
      <c r="F87" s="181"/>
      <c r="G87" s="205"/>
      <c r="H87" s="332">
        <f t="shared" si="7"/>
        <v>0</v>
      </c>
      <c r="I87" s="328"/>
      <c r="J87" s="328">
        <f t="shared" si="8"/>
        <v>0</v>
      </c>
      <c r="K87" s="325">
        <v>60</v>
      </c>
      <c r="L87" s="6">
        <v>60</v>
      </c>
      <c r="M87" s="318">
        <v>0</v>
      </c>
      <c r="N87" s="319">
        <v>0</v>
      </c>
      <c r="O87" s="64"/>
      <c r="P87" s="183"/>
      <c r="Q87" s="191"/>
      <c r="R87" s="320"/>
      <c r="S87" s="321"/>
      <c r="T87" s="58"/>
      <c r="U87" s="193"/>
      <c r="V87" s="194"/>
    </row>
    <row r="88" spans="2:22" hidden="1" x14ac:dyDescent="0.25">
      <c r="B88" s="370"/>
      <c r="C88" s="7" t="s">
        <v>72</v>
      </c>
      <c r="D88" s="181"/>
      <c r="E88" s="181"/>
      <c r="F88" s="181"/>
      <c r="G88" s="205"/>
      <c r="H88" s="332">
        <f t="shared" si="7"/>
        <v>0</v>
      </c>
      <c r="I88" s="328"/>
      <c r="J88" s="328">
        <f t="shared" si="8"/>
        <v>0</v>
      </c>
      <c r="K88" s="325"/>
      <c r="L88" s="6"/>
      <c r="M88" s="318"/>
      <c r="N88" s="319"/>
      <c r="O88" s="64"/>
      <c r="P88" s="183"/>
      <c r="Q88" s="191"/>
      <c r="R88" s="320"/>
      <c r="S88" s="321"/>
      <c r="T88" s="58"/>
      <c r="U88" s="193"/>
      <c r="V88" s="194"/>
    </row>
    <row r="89" spans="2:22" x14ac:dyDescent="0.25">
      <c r="B89" s="370"/>
      <c r="C89" s="7" t="s">
        <v>70</v>
      </c>
      <c r="D89" s="181"/>
      <c r="E89" s="181"/>
      <c r="F89" s="181"/>
      <c r="G89" s="205"/>
      <c r="H89" s="332">
        <f t="shared" si="7"/>
        <v>0</v>
      </c>
      <c r="I89" s="328"/>
      <c r="J89" s="328">
        <f t="shared" si="8"/>
        <v>0</v>
      </c>
      <c r="K89" s="325">
        <v>741</v>
      </c>
      <c r="L89" s="6">
        <v>976.28</v>
      </c>
      <c r="M89" s="318">
        <v>0</v>
      </c>
      <c r="N89" s="319">
        <v>57.32</v>
      </c>
      <c r="O89" s="64"/>
      <c r="P89" s="183"/>
      <c r="Q89" s="191"/>
      <c r="R89" s="320"/>
      <c r="S89" s="321"/>
      <c r="T89" s="58"/>
      <c r="U89" s="193"/>
      <c r="V89" s="194"/>
    </row>
    <row r="90" spans="2:22" hidden="1" x14ac:dyDescent="0.25">
      <c r="B90" s="370"/>
      <c r="C90" s="7" t="s">
        <v>73</v>
      </c>
      <c r="D90" s="181"/>
      <c r="E90" s="181"/>
      <c r="F90" s="181"/>
      <c r="G90" s="205"/>
      <c r="H90" s="332">
        <f t="shared" si="7"/>
        <v>0</v>
      </c>
      <c r="I90" s="328"/>
      <c r="J90" s="328">
        <f t="shared" si="8"/>
        <v>0</v>
      </c>
      <c r="K90" s="325"/>
      <c r="L90" s="6"/>
      <c r="M90" s="63"/>
      <c r="N90" s="182">
        <v>0</v>
      </c>
      <c r="O90" s="64"/>
      <c r="P90" s="183"/>
      <c r="Q90" s="191"/>
      <c r="R90" s="192"/>
      <c r="S90" s="143"/>
      <c r="T90" s="58"/>
      <c r="U90" s="193"/>
      <c r="V90" s="194"/>
    </row>
    <row r="91" spans="2:22" x14ac:dyDescent="0.25">
      <c r="B91" s="370"/>
      <c r="C91" s="7" t="s">
        <v>223</v>
      </c>
      <c r="D91" s="181"/>
      <c r="E91" s="181"/>
      <c r="F91" s="181"/>
      <c r="G91" s="205"/>
      <c r="H91" s="398"/>
      <c r="I91" s="399"/>
      <c r="J91" s="399"/>
      <c r="K91" s="318">
        <v>144</v>
      </c>
      <c r="L91" s="6">
        <v>181.12</v>
      </c>
      <c r="M91" s="318">
        <v>0</v>
      </c>
      <c r="N91" s="319"/>
      <c r="O91" s="64"/>
      <c r="P91" s="183"/>
      <c r="Q91" s="191"/>
      <c r="R91" s="320"/>
      <c r="S91" s="321"/>
      <c r="T91" s="58"/>
      <c r="U91" s="193"/>
      <c r="V91" s="194"/>
    </row>
    <row r="92" spans="2:22" x14ac:dyDescent="0.25">
      <c r="B92" s="370"/>
      <c r="C92" s="7" t="s">
        <v>74</v>
      </c>
      <c r="D92" s="181"/>
      <c r="E92" s="181"/>
      <c r="F92" s="181"/>
      <c r="G92" s="205"/>
      <c r="H92" s="398"/>
      <c r="I92" s="399"/>
      <c r="J92" s="399"/>
      <c r="K92" s="318">
        <v>0</v>
      </c>
      <c r="L92" s="6">
        <v>0</v>
      </c>
      <c r="M92" s="318">
        <v>0</v>
      </c>
      <c r="N92" s="319">
        <v>60</v>
      </c>
      <c r="O92" s="64"/>
      <c r="P92" s="183"/>
      <c r="Q92" s="191"/>
      <c r="R92" s="320"/>
      <c r="S92" s="321"/>
      <c r="T92" s="58"/>
      <c r="U92" s="193"/>
      <c r="V92" s="194"/>
    </row>
    <row r="93" spans="2:22" x14ac:dyDescent="0.25">
      <c r="B93" s="370"/>
      <c r="C93" s="8" t="s">
        <v>222</v>
      </c>
      <c r="D93" s="195"/>
      <c r="E93" s="195"/>
      <c r="F93" s="195"/>
      <c r="G93" s="195"/>
      <c r="H93" s="331">
        <f t="shared" si="7"/>
        <v>0</v>
      </c>
      <c r="I93" s="331"/>
      <c r="J93" s="329">
        <f t="shared" si="8"/>
        <v>0</v>
      </c>
      <c r="K93" s="119">
        <v>855</v>
      </c>
      <c r="L93" s="43">
        <v>858</v>
      </c>
      <c r="M93" s="119">
        <v>0</v>
      </c>
      <c r="N93" s="196"/>
      <c r="O93" s="120"/>
      <c r="P93" s="183"/>
      <c r="Q93" s="197"/>
      <c r="R93" s="198"/>
      <c r="S93" s="199"/>
      <c r="T93" s="59"/>
      <c r="U93" s="193"/>
      <c r="V93" s="200"/>
    </row>
    <row r="94" spans="2:22" ht="15.75" thickBot="1" x14ac:dyDescent="0.3">
      <c r="B94" s="371"/>
      <c r="C94" s="9"/>
      <c r="D94" s="10">
        <f t="shared" ref="D94:O94" si="9">SUM(D64:D93)</f>
        <v>45.199999999999996</v>
      </c>
      <c r="E94" s="323">
        <f t="shared" si="9"/>
        <v>221.79999999999998</v>
      </c>
      <c r="F94" s="323">
        <f t="shared" si="9"/>
        <v>9.1999999999999993</v>
      </c>
      <c r="G94" s="322">
        <f t="shared" si="9"/>
        <v>594.6</v>
      </c>
      <c r="H94" s="65">
        <f t="shared" si="9"/>
        <v>870.8</v>
      </c>
      <c r="I94" s="10">
        <f t="shared" si="9"/>
        <v>1456.9999999999998</v>
      </c>
      <c r="J94" s="324">
        <f t="shared" si="9"/>
        <v>2327.8000000000002</v>
      </c>
      <c r="K94" s="201">
        <f t="shared" si="9"/>
        <v>392011.23</v>
      </c>
      <c r="L94" s="202">
        <f t="shared" si="9"/>
        <v>69916.759999999995</v>
      </c>
      <c r="M94" s="11">
        <f t="shared" si="9"/>
        <v>60483.770000000004</v>
      </c>
      <c r="N94" s="203">
        <f t="shared" si="9"/>
        <v>320233.82000000007</v>
      </c>
      <c r="O94" s="46">
        <f t="shared" si="9"/>
        <v>234168.62666666665</v>
      </c>
      <c r="P94" s="20"/>
      <c r="Q94" s="60">
        <f>SUM(Q64:Q93)</f>
        <v>1298.8000000000002</v>
      </c>
      <c r="R94" s="44">
        <f>SUM(R64:R93)</f>
        <v>391901.23</v>
      </c>
      <c r="S94" s="12">
        <f>SUM(S64:S93)</f>
        <v>320233.81999999995</v>
      </c>
      <c r="T94" s="61">
        <f>SUM(T64:T93)</f>
        <v>234168.62666666665</v>
      </c>
      <c r="U94" s="55"/>
      <c r="V94" s="204">
        <f>SUM(V64:V93)</f>
        <v>320233.82</v>
      </c>
    </row>
    <row r="95" spans="2:22" ht="15.75" thickTop="1" x14ac:dyDescent="0.25"/>
    <row r="96" spans="2:22" ht="15.75" thickBot="1" x14ac:dyDescent="0.3"/>
    <row r="97" spans="2:22" ht="15.75" thickTop="1" x14ac:dyDescent="0.25">
      <c r="B97" s="369" t="s">
        <v>203</v>
      </c>
      <c r="C97" s="170" t="s">
        <v>42</v>
      </c>
      <c r="D97" s="311">
        <f>D5+D34</f>
        <v>8.3999999999999986</v>
      </c>
      <c r="E97" s="171">
        <f>E5+E34</f>
        <v>32</v>
      </c>
      <c r="F97" s="171">
        <f>F5+F34</f>
        <v>0</v>
      </c>
      <c r="G97" s="171">
        <f>G5+G34</f>
        <v>98.6</v>
      </c>
      <c r="H97" s="330">
        <f t="shared" ref="H97:H123" si="10">SUM(D97:G97)</f>
        <v>139</v>
      </c>
      <c r="I97" s="330">
        <f>I5+I34</f>
        <v>311.8</v>
      </c>
      <c r="J97" s="327">
        <f>H97+I97</f>
        <v>450.8</v>
      </c>
      <c r="K97" s="172">
        <f>K5+K34</f>
        <v>112216.48000000001</v>
      </c>
      <c r="L97" s="62">
        <f>L5+L34</f>
        <v>2316.19</v>
      </c>
      <c r="M97" s="172">
        <f>M5+M34</f>
        <v>7873.52</v>
      </c>
      <c r="N97" s="173">
        <f>N5+N34</f>
        <v>79420.789999999994</v>
      </c>
      <c r="O97" s="335">
        <v>436219</v>
      </c>
      <c r="P97" s="21"/>
      <c r="Q97" s="174">
        <f>Q5+Q34</f>
        <v>631.4</v>
      </c>
      <c r="R97" s="175">
        <f>R5+R34</f>
        <v>217689</v>
      </c>
      <c r="S97" s="176">
        <f>S5+S34</f>
        <v>215880.03999999998</v>
      </c>
      <c r="T97" s="177">
        <f>O97+O100+(O101/3)+O107</f>
        <v>1029618.6666666666</v>
      </c>
      <c r="U97" s="178"/>
      <c r="V97" s="179">
        <f>V5+V34</f>
        <v>235011.04</v>
      </c>
    </row>
    <row r="98" spans="2:22" x14ac:dyDescent="0.25">
      <c r="B98" s="370"/>
      <c r="C98" s="5" t="s">
        <v>43</v>
      </c>
      <c r="D98" s="181">
        <f>D6+D35</f>
        <v>4.8</v>
      </c>
      <c r="E98" s="181">
        <f>E6+E35</f>
        <v>28.6</v>
      </c>
      <c r="F98" s="181">
        <f>F6+F35</f>
        <v>0</v>
      </c>
      <c r="G98" s="205">
        <f>G6+G35</f>
        <v>39.6</v>
      </c>
      <c r="H98" s="332">
        <f t="shared" si="10"/>
        <v>73</v>
      </c>
      <c r="I98" s="328">
        <f>I6+I35</f>
        <v>245.2</v>
      </c>
      <c r="J98" s="328">
        <f t="shared" ref="J98:J123" si="11">H98+I98</f>
        <v>318.2</v>
      </c>
      <c r="K98" s="325">
        <f>K6+K35</f>
        <v>80150</v>
      </c>
      <c r="L98" s="6">
        <f>L6+L35</f>
        <v>2904.82</v>
      </c>
      <c r="M98" s="63">
        <f>M6+M35</f>
        <v>16575</v>
      </c>
      <c r="N98" s="182">
        <f>N6+N35</f>
        <v>102472.42000000001</v>
      </c>
      <c r="O98" s="64">
        <v>416391</v>
      </c>
      <c r="P98" s="183"/>
      <c r="Q98" s="184">
        <f>Q6+Q35</f>
        <v>509.6</v>
      </c>
      <c r="R98" s="185">
        <f>R6+R35</f>
        <v>152260.5</v>
      </c>
      <c r="S98" s="186">
        <f>S6+S35</f>
        <v>147137.26</v>
      </c>
      <c r="T98" s="56">
        <f>O98+(O101/3)+O103+O106</f>
        <v>894838.66666666674</v>
      </c>
      <c r="U98" s="187"/>
      <c r="V98" s="188">
        <f>V6+V35</f>
        <v>184469.68</v>
      </c>
    </row>
    <row r="99" spans="2:22" x14ac:dyDescent="0.25">
      <c r="B99" s="370"/>
      <c r="C99" s="5" t="s">
        <v>44</v>
      </c>
      <c r="D99" s="181">
        <f>D7+D36</f>
        <v>21.799999999999997</v>
      </c>
      <c r="E99" s="181">
        <f>E7+E36</f>
        <v>44.4</v>
      </c>
      <c r="F99" s="181">
        <f>F7+F36</f>
        <v>6.8</v>
      </c>
      <c r="G99" s="205">
        <f>G7+G36</f>
        <v>54.599999999999994</v>
      </c>
      <c r="H99" s="332">
        <f t="shared" si="10"/>
        <v>127.59999999999998</v>
      </c>
      <c r="I99" s="328">
        <f>I7+I36</f>
        <v>262.2</v>
      </c>
      <c r="J99" s="328">
        <f t="shared" si="11"/>
        <v>389.79999999999995</v>
      </c>
      <c r="K99" s="326">
        <f>K7+K36</f>
        <v>119299.65</v>
      </c>
      <c r="L99" s="190">
        <f>L7+L36</f>
        <v>4365.41</v>
      </c>
      <c r="M99" s="189">
        <f>M7+M36</f>
        <v>9973.58</v>
      </c>
      <c r="N99" s="182">
        <f>N7+N36</f>
        <v>84569.53</v>
      </c>
      <c r="O99" s="334">
        <v>356906</v>
      </c>
      <c r="P99" s="183"/>
      <c r="Q99" s="184">
        <f>Q7+Q36</f>
        <v>731.4</v>
      </c>
      <c r="R99" s="185">
        <f>R7+R36</f>
        <v>230132.93</v>
      </c>
      <c r="S99" s="186">
        <f>S7+S36</f>
        <v>168838.95</v>
      </c>
      <c r="T99" s="56">
        <f>O99+O102+(O101/3)+O108</f>
        <v>974369.66666666663</v>
      </c>
      <c r="U99" s="187"/>
      <c r="V99" s="188">
        <f>V7+V36</f>
        <v>105419.45999999999</v>
      </c>
    </row>
    <row r="100" spans="2:22" x14ac:dyDescent="0.25">
      <c r="B100" s="370"/>
      <c r="C100" s="5" t="s">
        <v>47</v>
      </c>
      <c r="D100" s="181">
        <f>D8+D37</f>
        <v>0</v>
      </c>
      <c r="E100" s="181">
        <f>E8+E37</f>
        <v>0</v>
      </c>
      <c r="F100" s="181">
        <f>F8+F37</f>
        <v>0</v>
      </c>
      <c r="G100" s="205">
        <f>G8+G37</f>
        <v>33.6</v>
      </c>
      <c r="H100" s="332">
        <f t="shared" si="10"/>
        <v>33.6</v>
      </c>
      <c r="I100" s="328">
        <f>I8+I37</f>
        <v>140.19999999999999</v>
      </c>
      <c r="J100" s="328">
        <f t="shared" si="11"/>
        <v>173.79999999999998</v>
      </c>
      <c r="K100" s="325">
        <f>K8+K37</f>
        <v>37752.5</v>
      </c>
      <c r="L100" s="6">
        <f>L8+L37</f>
        <v>0</v>
      </c>
      <c r="M100" s="63">
        <f>M8+M37</f>
        <v>1942.5</v>
      </c>
      <c r="N100" s="182">
        <f>N8+N37</f>
        <v>59177.36</v>
      </c>
      <c r="O100" s="64">
        <v>336896</v>
      </c>
      <c r="P100" s="183"/>
      <c r="Q100" s="184"/>
      <c r="R100" s="185"/>
      <c r="S100" s="186"/>
      <c r="T100" s="57"/>
      <c r="U100" s="187"/>
      <c r="V100" s="188"/>
    </row>
    <row r="101" spans="2:22" x14ac:dyDescent="0.25">
      <c r="B101" s="370"/>
      <c r="C101" s="7" t="s">
        <v>85</v>
      </c>
      <c r="D101" s="181">
        <f>D9+D38</f>
        <v>0</v>
      </c>
      <c r="E101" s="181">
        <f>E9+E38</f>
        <v>1</v>
      </c>
      <c r="F101" s="181">
        <f>F9+F38</f>
        <v>0</v>
      </c>
      <c r="G101" s="205">
        <f>G9+G38</f>
        <v>56</v>
      </c>
      <c r="H101" s="332">
        <f t="shared" si="10"/>
        <v>57</v>
      </c>
      <c r="I101" s="328">
        <f>I9+I38</f>
        <v>216.4</v>
      </c>
      <c r="J101" s="328">
        <f t="shared" si="11"/>
        <v>273.39999999999998</v>
      </c>
      <c r="K101" s="325">
        <f>K9+K38</f>
        <v>41979.72</v>
      </c>
      <c r="L101" s="6">
        <f>L9+L38</f>
        <v>4869.34</v>
      </c>
      <c r="M101" s="63">
        <f>M9+M38</f>
        <v>9390.2799999999988</v>
      </c>
      <c r="N101" s="182">
        <f>N9+N38</f>
        <v>26366.82</v>
      </c>
      <c r="O101" s="64">
        <v>264704</v>
      </c>
      <c r="P101" s="183"/>
      <c r="Q101" s="191"/>
      <c r="R101" s="192"/>
      <c r="S101" s="143"/>
      <c r="T101" s="58"/>
      <c r="U101" s="193"/>
      <c r="V101" s="194"/>
    </row>
    <row r="102" spans="2:22" x14ac:dyDescent="0.25">
      <c r="B102" s="370"/>
      <c r="C102" s="7" t="s">
        <v>87</v>
      </c>
      <c r="D102" s="181">
        <f>D10+D39</f>
        <v>0</v>
      </c>
      <c r="E102" s="181">
        <f>E10+E39</f>
        <v>0.8</v>
      </c>
      <c r="F102" s="181">
        <f>F10+F39</f>
        <v>10.4</v>
      </c>
      <c r="G102" s="205">
        <f>G10+G39</f>
        <v>3.6</v>
      </c>
      <c r="H102" s="332">
        <f t="shared" si="10"/>
        <v>14.8</v>
      </c>
      <c r="I102" s="328">
        <f>I10+I39</f>
        <v>210.39999999999998</v>
      </c>
      <c r="J102" s="328">
        <f t="shared" si="11"/>
        <v>225.2</v>
      </c>
      <c r="K102" s="325">
        <f>K10+K39</f>
        <v>80775</v>
      </c>
      <c r="L102" s="6">
        <f>L10+L39</f>
        <v>681.43</v>
      </c>
      <c r="M102" s="63">
        <f>M10+M39</f>
        <v>6755</v>
      </c>
      <c r="N102" s="182">
        <f>N10+N39</f>
        <v>54908.42</v>
      </c>
      <c r="O102" s="64">
        <v>360960</v>
      </c>
      <c r="P102" s="183"/>
      <c r="Q102" s="191"/>
      <c r="R102" s="192"/>
      <c r="S102" s="143"/>
      <c r="T102" s="58"/>
      <c r="U102" s="193"/>
      <c r="V102" s="194"/>
    </row>
    <row r="103" spans="2:22" x14ac:dyDescent="0.25">
      <c r="B103" s="370"/>
      <c r="C103" s="7" t="s">
        <v>199</v>
      </c>
      <c r="D103" s="181"/>
      <c r="E103" s="181"/>
      <c r="F103" s="181"/>
      <c r="G103" s="205"/>
      <c r="H103" s="332">
        <f t="shared" si="10"/>
        <v>0</v>
      </c>
      <c r="I103" s="328"/>
      <c r="J103" s="328">
        <f t="shared" si="11"/>
        <v>0</v>
      </c>
      <c r="K103" s="325"/>
      <c r="L103" s="6"/>
      <c r="M103" s="63"/>
      <c r="N103" s="182"/>
      <c r="O103" s="64">
        <v>221944</v>
      </c>
      <c r="P103" s="183"/>
      <c r="Q103" s="191"/>
      <c r="R103" s="192"/>
      <c r="S103" s="143"/>
      <c r="T103" s="58"/>
      <c r="U103" s="193"/>
      <c r="V103" s="194"/>
    </row>
    <row r="104" spans="2:22" x14ac:dyDescent="0.25">
      <c r="B104" s="370"/>
      <c r="C104" s="7" t="s">
        <v>213</v>
      </c>
      <c r="D104" s="181">
        <f>D12+D41</f>
        <v>0</v>
      </c>
      <c r="E104" s="181">
        <f>E12+E41</f>
        <v>2.4000000000000004</v>
      </c>
      <c r="F104" s="181">
        <f>F12+F41</f>
        <v>0</v>
      </c>
      <c r="G104" s="205">
        <f>G12+G41</f>
        <v>0</v>
      </c>
      <c r="H104" s="332">
        <f t="shared" si="10"/>
        <v>2.4000000000000004</v>
      </c>
      <c r="I104" s="328">
        <f>I12+I41</f>
        <v>9.1999999999999993</v>
      </c>
      <c r="J104" s="328">
        <f t="shared" si="11"/>
        <v>11.6</v>
      </c>
      <c r="K104" s="325">
        <f>K12+K41</f>
        <v>5060</v>
      </c>
      <c r="L104" s="6">
        <f>L12+L41</f>
        <v>0</v>
      </c>
      <c r="M104" s="63">
        <f>M12+M41</f>
        <v>0</v>
      </c>
      <c r="N104" s="364">
        <f>N12+N41</f>
        <v>4332.04</v>
      </c>
      <c r="O104" s="64"/>
      <c r="P104" s="183"/>
      <c r="Q104" s="191">
        <f>Q12+Q41</f>
        <v>3.6</v>
      </c>
      <c r="R104" s="192">
        <f>R12+R41</f>
        <v>1980</v>
      </c>
      <c r="S104" s="143">
        <f>S12+S41</f>
        <v>1980</v>
      </c>
      <c r="T104" s="58"/>
      <c r="U104" s="193"/>
      <c r="V104" s="194"/>
    </row>
    <row r="105" spans="2:22" x14ac:dyDescent="0.25">
      <c r="B105" s="370"/>
      <c r="C105" s="7" t="s">
        <v>202</v>
      </c>
      <c r="D105" s="181">
        <f>D13+D42</f>
        <v>0</v>
      </c>
      <c r="E105" s="181">
        <f>E13+E42</f>
        <v>7.2</v>
      </c>
      <c r="F105" s="181">
        <f>F13+F42</f>
        <v>0</v>
      </c>
      <c r="G105" s="205">
        <f>G13+G42</f>
        <v>0</v>
      </c>
      <c r="H105" s="332">
        <f t="shared" si="10"/>
        <v>7.2</v>
      </c>
      <c r="I105" s="328">
        <f>I13+I42</f>
        <v>23</v>
      </c>
      <c r="J105" s="328">
        <f t="shared" si="11"/>
        <v>30.2</v>
      </c>
      <c r="K105" s="325">
        <f>K13+K42</f>
        <v>7470</v>
      </c>
      <c r="L105" s="6">
        <f>L13+L42</f>
        <v>0</v>
      </c>
      <c r="M105" s="63">
        <f>M13+M42</f>
        <v>540</v>
      </c>
      <c r="N105" s="182">
        <f>N13+N42</f>
        <v>5850</v>
      </c>
      <c r="O105" s="64"/>
      <c r="P105" s="183"/>
      <c r="Q105" s="191">
        <f>Q13+Q42</f>
        <v>20.799999999999997</v>
      </c>
      <c r="R105" s="192">
        <f>R13+R42</f>
        <v>7030</v>
      </c>
      <c r="S105" s="143">
        <f>S13+S42</f>
        <v>7030</v>
      </c>
      <c r="T105" s="58"/>
      <c r="U105" s="193"/>
      <c r="V105" s="194">
        <f>V13+V42</f>
        <v>1440</v>
      </c>
    </row>
    <row r="106" spans="2:22" x14ac:dyDescent="0.25">
      <c r="B106" s="370"/>
      <c r="C106" s="7" t="s">
        <v>49</v>
      </c>
      <c r="D106" s="181">
        <f>D14+D43</f>
        <v>0</v>
      </c>
      <c r="E106" s="181">
        <f>E14+E43</f>
        <v>0.8</v>
      </c>
      <c r="F106" s="181">
        <f>F14+F43</f>
        <v>0</v>
      </c>
      <c r="G106" s="205">
        <f>G14+G43</f>
        <v>20</v>
      </c>
      <c r="H106" s="332">
        <f t="shared" si="10"/>
        <v>20.8</v>
      </c>
      <c r="I106" s="328">
        <f>I14+I43</f>
        <v>205.60000000000002</v>
      </c>
      <c r="J106" s="328">
        <f t="shared" si="11"/>
        <v>226.40000000000003</v>
      </c>
      <c r="K106" s="325">
        <f>K14+K43</f>
        <v>30699</v>
      </c>
      <c r="L106" s="6">
        <f>L14+L43</f>
        <v>1622</v>
      </c>
      <c r="M106" s="63">
        <f>M14+M43</f>
        <v>3952</v>
      </c>
      <c r="N106" s="182">
        <f>N14+N43</f>
        <v>25491.230000000003</v>
      </c>
      <c r="O106" s="64">
        <v>168269</v>
      </c>
      <c r="P106" s="183"/>
      <c r="Q106" s="191"/>
      <c r="R106" s="192"/>
      <c r="S106" s="143"/>
      <c r="T106" s="58"/>
      <c r="U106" s="193"/>
      <c r="V106" s="194"/>
    </row>
    <row r="107" spans="2:22" x14ac:dyDescent="0.25">
      <c r="B107" s="370"/>
      <c r="C107" s="7" t="s">
        <v>48</v>
      </c>
      <c r="D107" s="181">
        <f>D15+D44</f>
        <v>0</v>
      </c>
      <c r="E107" s="181">
        <f>E15+E44</f>
        <v>0</v>
      </c>
      <c r="F107" s="181">
        <f>F15+F44</f>
        <v>0</v>
      </c>
      <c r="G107" s="205">
        <f>G15+G44</f>
        <v>64.599999999999994</v>
      </c>
      <c r="H107" s="332">
        <f t="shared" si="10"/>
        <v>64.599999999999994</v>
      </c>
      <c r="I107" s="328">
        <f>I15+I44</f>
        <v>192.6</v>
      </c>
      <c r="J107" s="328">
        <f t="shared" si="11"/>
        <v>257.2</v>
      </c>
      <c r="K107" s="325">
        <f>K15+K44</f>
        <v>28643.239999999998</v>
      </c>
      <c r="L107" s="6">
        <f>L15+L44</f>
        <v>968.65</v>
      </c>
      <c r="M107" s="63">
        <f>M15+M44</f>
        <v>1855.76</v>
      </c>
      <c r="N107" s="182">
        <f>N15+N44</f>
        <v>39149.410000000003</v>
      </c>
      <c r="O107" s="64">
        <v>168269</v>
      </c>
      <c r="P107" s="183"/>
      <c r="Q107" s="191"/>
      <c r="R107" s="192"/>
      <c r="S107" s="143"/>
      <c r="T107" s="58"/>
      <c r="U107" s="193"/>
      <c r="V107" s="194"/>
    </row>
    <row r="108" spans="2:22" x14ac:dyDescent="0.25">
      <c r="B108" s="370"/>
      <c r="C108" s="7" t="s">
        <v>50</v>
      </c>
      <c r="D108" s="181">
        <f>D16+D45</f>
        <v>0</v>
      </c>
      <c r="E108" s="181">
        <f>E16+E45</f>
        <v>2</v>
      </c>
      <c r="F108" s="181">
        <f>F16+F45</f>
        <v>0</v>
      </c>
      <c r="G108" s="205">
        <f>G16+G45</f>
        <v>12</v>
      </c>
      <c r="H108" s="332">
        <f t="shared" si="10"/>
        <v>14</v>
      </c>
      <c r="I108" s="328">
        <f>I16+I45</f>
        <v>231.4</v>
      </c>
      <c r="J108" s="328">
        <f t="shared" si="11"/>
        <v>245.4</v>
      </c>
      <c r="K108" s="325">
        <f>K16+K45</f>
        <v>37154.979999999996</v>
      </c>
      <c r="L108" s="6">
        <f>L16+L45</f>
        <v>1023.6300000000001</v>
      </c>
      <c r="M108" s="63">
        <f>M16+M45</f>
        <v>3408.8</v>
      </c>
      <c r="N108" s="182">
        <f>N16+N45</f>
        <v>39271.990000000005</v>
      </c>
      <c r="O108" s="64">
        <v>168269</v>
      </c>
      <c r="P108" s="183"/>
      <c r="Q108" s="191"/>
      <c r="R108" s="192"/>
      <c r="S108" s="143"/>
      <c r="T108" s="58"/>
      <c r="U108" s="193"/>
      <c r="V108" s="194"/>
    </row>
    <row r="109" spans="2:22" x14ac:dyDescent="0.25">
      <c r="B109" s="370"/>
      <c r="C109" s="7" t="s">
        <v>68</v>
      </c>
      <c r="D109" s="181">
        <f>D17+D46</f>
        <v>0</v>
      </c>
      <c r="E109" s="181">
        <f>E17+E46</f>
        <v>0</v>
      </c>
      <c r="F109" s="181">
        <f>F17+F46</f>
        <v>0</v>
      </c>
      <c r="G109" s="205">
        <f>G17+G46</f>
        <v>228.39999999999998</v>
      </c>
      <c r="H109" s="332">
        <f t="shared" si="10"/>
        <v>228.39999999999998</v>
      </c>
      <c r="I109" s="328">
        <f>I17+I46</f>
        <v>1.7999999999999998</v>
      </c>
      <c r="J109" s="328">
        <f t="shared" si="11"/>
        <v>230.2</v>
      </c>
      <c r="K109" s="325">
        <f>K17+K46</f>
        <v>231.88</v>
      </c>
      <c r="L109" s="6">
        <f>L17+L46</f>
        <v>35</v>
      </c>
      <c r="M109" s="63">
        <f>M17+M46</f>
        <v>48.13</v>
      </c>
      <c r="N109" s="182">
        <f>N17+N46</f>
        <v>196.88</v>
      </c>
      <c r="O109" s="64"/>
      <c r="P109" s="183"/>
      <c r="Q109" s="191"/>
      <c r="R109" s="192"/>
      <c r="S109" s="143"/>
      <c r="T109" s="58"/>
      <c r="U109" s="193"/>
      <c r="V109" s="194"/>
    </row>
    <row r="110" spans="2:22" x14ac:dyDescent="0.25">
      <c r="B110" s="370"/>
      <c r="C110" s="7" t="s">
        <v>88</v>
      </c>
      <c r="D110" s="181">
        <f>D18+D47</f>
        <v>0</v>
      </c>
      <c r="E110" s="181">
        <f>E18+E47</f>
        <v>0</v>
      </c>
      <c r="F110" s="181">
        <f>F18+F47</f>
        <v>0</v>
      </c>
      <c r="G110" s="205">
        <f>G18+G47</f>
        <v>320.8</v>
      </c>
      <c r="H110" s="332">
        <f t="shared" si="10"/>
        <v>320.8</v>
      </c>
      <c r="I110" s="328">
        <f>I18+I47</f>
        <v>0.6</v>
      </c>
      <c r="J110" s="328">
        <f t="shared" si="11"/>
        <v>321.40000000000003</v>
      </c>
      <c r="K110" s="325">
        <f>K18+K47</f>
        <v>75</v>
      </c>
      <c r="L110" s="6">
        <f>L18+L47</f>
        <v>25</v>
      </c>
      <c r="M110" s="63">
        <f>M18+M47</f>
        <v>0</v>
      </c>
      <c r="N110" s="182">
        <f>N18+N47</f>
        <v>50</v>
      </c>
      <c r="O110" s="64"/>
      <c r="P110" s="183"/>
      <c r="Q110" s="191"/>
      <c r="R110" s="192"/>
      <c r="S110" s="143"/>
      <c r="T110" s="58"/>
      <c r="U110" s="193"/>
      <c r="V110" s="194"/>
    </row>
    <row r="111" spans="2:22" x14ac:dyDescent="0.25">
      <c r="B111" s="370"/>
      <c r="C111" s="7" t="s">
        <v>69</v>
      </c>
      <c r="D111" s="181">
        <f>D19+D48</f>
        <v>0</v>
      </c>
      <c r="E111" s="181">
        <f>E19+E48</f>
        <v>0</v>
      </c>
      <c r="F111" s="181">
        <f>F19+F48</f>
        <v>0</v>
      </c>
      <c r="G111" s="205">
        <f>G19+G48</f>
        <v>155.19999999999999</v>
      </c>
      <c r="H111" s="332">
        <f t="shared" si="10"/>
        <v>155.19999999999999</v>
      </c>
      <c r="I111" s="328">
        <f>I19+I48</f>
        <v>0</v>
      </c>
      <c r="J111" s="328">
        <f t="shared" si="11"/>
        <v>155.19999999999999</v>
      </c>
      <c r="K111" s="325">
        <f>K19+K48</f>
        <v>0</v>
      </c>
      <c r="L111" s="6">
        <f>L19+L48</f>
        <v>0</v>
      </c>
      <c r="M111" s="63">
        <f>M19+M48</f>
        <v>0</v>
      </c>
      <c r="N111" s="182">
        <f>N19+N48</f>
        <v>0</v>
      </c>
      <c r="O111" s="64"/>
      <c r="P111" s="183"/>
      <c r="Q111" s="191"/>
      <c r="R111" s="192"/>
      <c r="S111" s="143"/>
      <c r="T111" s="58"/>
      <c r="U111" s="193"/>
      <c r="V111" s="194"/>
    </row>
    <row r="112" spans="2:22" x14ac:dyDescent="0.25">
      <c r="B112" s="370"/>
      <c r="C112" s="7" t="s">
        <v>211</v>
      </c>
      <c r="D112" s="181">
        <f>D20+D49</f>
        <v>0</v>
      </c>
      <c r="E112" s="181">
        <f>E20+E49</f>
        <v>293.8</v>
      </c>
      <c r="F112" s="181">
        <f>F20+F49</f>
        <v>0</v>
      </c>
      <c r="G112" s="205">
        <f>G20+G49</f>
        <v>0</v>
      </c>
      <c r="H112" s="332">
        <f t="shared" si="10"/>
        <v>293.8</v>
      </c>
      <c r="I112" s="328">
        <f>I20+I49</f>
        <v>0</v>
      </c>
      <c r="J112" s="328">
        <f t="shared" si="11"/>
        <v>293.8</v>
      </c>
      <c r="K112" s="325">
        <f>K20+K49</f>
        <v>0</v>
      </c>
      <c r="L112" s="6">
        <f>L20+L49</f>
        <v>0</v>
      </c>
      <c r="M112" s="63">
        <f>M20+M49</f>
        <v>0</v>
      </c>
      <c r="N112" s="182">
        <f>N20+N49</f>
        <v>0</v>
      </c>
      <c r="O112" s="64"/>
      <c r="P112" s="183"/>
      <c r="Q112" s="191"/>
      <c r="R112" s="192"/>
      <c r="S112" s="143"/>
      <c r="T112" s="58"/>
      <c r="U112" s="193"/>
      <c r="V112" s="194"/>
    </row>
    <row r="113" spans="2:22" x14ac:dyDescent="0.25">
      <c r="B113" s="370"/>
      <c r="C113" s="7" t="s">
        <v>77</v>
      </c>
      <c r="D113" s="181">
        <f>D21+D50</f>
        <v>0</v>
      </c>
      <c r="E113" s="181">
        <f>E21+E50</f>
        <v>0</v>
      </c>
      <c r="F113" s="181">
        <f>F21+F50</f>
        <v>0</v>
      </c>
      <c r="G113" s="205">
        <f>G21+G50</f>
        <v>0</v>
      </c>
      <c r="H113" s="332">
        <f t="shared" si="10"/>
        <v>0</v>
      </c>
      <c r="I113" s="328">
        <f>I21+I50</f>
        <v>51.800000000000004</v>
      </c>
      <c r="J113" s="328">
        <f t="shared" si="11"/>
        <v>51.800000000000004</v>
      </c>
      <c r="K113" s="325">
        <f>K21+K50</f>
        <v>24930</v>
      </c>
      <c r="L113" s="6">
        <f>L21+L50</f>
        <v>337.44</v>
      </c>
      <c r="M113" s="63">
        <f>M21+M50</f>
        <v>0</v>
      </c>
      <c r="N113" s="182">
        <f>N21+N50</f>
        <v>8167.17</v>
      </c>
      <c r="O113" s="64"/>
      <c r="P113" s="183"/>
      <c r="Q113" s="191">
        <f>Q21+Q50</f>
        <v>0</v>
      </c>
      <c r="R113" s="192">
        <f>R21+R50</f>
        <v>0</v>
      </c>
      <c r="S113" s="143">
        <f>S21+S50</f>
        <v>7382.41</v>
      </c>
      <c r="T113" s="58"/>
      <c r="U113" s="193"/>
      <c r="V113" s="194">
        <f>V21+V50</f>
        <v>7382.41</v>
      </c>
    </row>
    <row r="114" spans="2:22" x14ac:dyDescent="0.25">
      <c r="B114" s="370"/>
      <c r="C114" s="7" t="s">
        <v>46</v>
      </c>
      <c r="D114" s="181"/>
      <c r="E114" s="181"/>
      <c r="F114" s="181"/>
      <c r="G114" s="205"/>
      <c r="H114" s="332">
        <f t="shared" si="10"/>
        <v>0</v>
      </c>
      <c r="I114" s="328"/>
      <c r="J114" s="328">
        <f t="shared" si="11"/>
        <v>0</v>
      </c>
      <c r="K114" s="325">
        <f>K22+K51</f>
        <v>1650</v>
      </c>
      <c r="L114" s="6">
        <f>L22+L51</f>
        <v>3600</v>
      </c>
      <c r="M114" s="63">
        <f>M22+M51</f>
        <v>0</v>
      </c>
      <c r="N114" s="182">
        <f>N22+N51</f>
        <v>12697.66</v>
      </c>
      <c r="O114" s="64"/>
      <c r="P114" s="183"/>
      <c r="Q114" s="191"/>
      <c r="R114" s="192"/>
      <c r="S114" s="143"/>
      <c r="T114" s="58"/>
      <c r="U114" s="193"/>
      <c r="V114" s="194">
        <f>V22+V51</f>
        <v>14526.07</v>
      </c>
    </row>
    <row r="115" spans="2:22" x14ac:dyDescent="0.25">
      <c r="B115" s="370"/>
      <c r="C115" s="7" t="s">
        <v>45</v>
      </c>
      <c r="D115" s="181"/>
      <c r="E115" s="181"/>
      <c r="F115" s="181"/>
      <c r="G115" s="205"/>
      <c r="H115" s="332">
        <f t="shared" si="10"/>
        <v>0</v>
      </c>
      <c r="I115" s="328"/>
      <c r="J115" s="328">
        <f t="shared" si="11"/>
        <v>0</v>
      </c>
      <c r="K115" s="325">
        <f>K23+K52</f>
        <v>0</v>
      </c>
      <c r="L115" s="6">
        <f>L23+L52</f>
        <v>0</v>
      </c>
      <c r="M115" s="63">
        <f>M23+M52</f>
        <v>0</v>
      </c>
      <c r="N115" s="182">
        <f>N23+N52</f>
        <v>1298.95</v>
      </c>
      <c r="O115" s="64"/>
      <c r="P115" s="183"/>
      <c r="Q115" s="191"/>
      <c r="R115" s="192"/>
      <c r="S115" s="143"/>
      <c r="T115" s="58"/>
      <c r="U115" s="193"/>
      <c r="V115" s="194"/>
    </row>
    <row r="116" spans="2:22" x14ac:dyDescent="0.25">
      <c r="B116" s="370"/>
      <c r="C116" s="7" t="s">
        <v>74</v>
      </c>
      <c r="D116" s="181"/>
      <c r="E116" s="181"/>
      <c r="F116" s="181"/>
      <c r="G116" s="205"/>
      <c r="H116" s="332">
        <f t="shared" si="10"/>
        <v>0</v>
      </c>
      <c r="I116" s="328"/>
      <c r="J116" s="328">
        <f t="shared" si="11"/>
        <v>0</v>
      </c>
      <c r="K116" s="325">
        <f>K24+K53</f>
        <v>0</v>
      </c>
      <c r="L116" s="6">
        <f>L24+L53</f>
        <v>0</v>
      </c>
      <c r="M116" s="318">
        <f>M24+M53</f>
        <v>0</v>
      </c>
      <c r="N116" s="319">
        <f>N24+N53</f>
        <v>720</v>
      </c>
      <c r="O116" s="64"/>
      <c r="P116" s="183"/>
      <c r="Q116" s="191"/>
      <c r="R116" s="320"/>
      <c r="S116" s="321"/>
      <c r="T116" s="58"/>
      <c r="U116" s="193"/>
      <c r="V116" s="194"/>
    </row>
    <row r="117" spans="2:22" x14ac:dyDescent="0.25">
      <c r="B117" s="370"/>
      <c r="C117" s="7" t="s">
        <v>52</v>
      </c>
      <c r="D117" s="181"/>
      <c r="E117" s="181"/>
      <c r="F117" s="181"/>
      <c r="G117" s="205"/>
      <c r="H117" s="332">
        <f t="shared" si="10"/>
        <v>0</v>
      </c>
      <c r="I117" s="328"/>
      <c r="J117" s="328">
        <f t="shared" si="11"/>
        <v>0</v>
      </c>
      <c r="K117" s="325">
        <f>K25+K54</f>
        <v>315</v>
      </c>
      <c r="L117" s="6">
        <f>L25+L54</f>
        <v>0</v>
      </c>
      <c r="M117" s="318">
        <f>M25+M54</f>
        <v>0</v>
      </c>
      <c r="N117" s="319"/>
      <c r="O117" s="64"/>
      <c r="P117" s="183"/>
      <c r="Q117" s="191"/>
      <c r="R117" s="320"/>
      <c r="S117" s="321"/>
      <c r="T117" s="58"/>
      <c r="U117" s="193"/>
      <c r="V117" s="194"/>
    </row>
    <row r="118" spans="2:22" x14ac:dyDescent="0.25">
      <c r="B118" s="370"/>
      <c r="C118" s="7" t="s">
        <v>51</v>
      </c>
      <c r="D118" s="181"/>
      <c r="E118" s="181"/>
      <c r="F118" s="181"/>
      <c r="G118" s="205"/>
      <c r="H118" s="332">
        <f t="shared" si="10"/>
        <v>0</v>
      </c>
      <c r="I118" s="328"/>
      <c r="J118" s="328">
        <f t="shared" si="11"/>
        <v>0</v>
      </c>
      <c r="K118" s="325">
        <f>K26+K55</f>
        <v>630</v>
      </c>
      <c r="L118" s="6">
        <f>L26+L55</f>
        <v>0</v>
      </c>
      <c r="M118" s="318">
        <f>M26+M55</f>
        <v>210</v>
      </c>
      <c r="N118" s="319">
        <f>N26+N55</f>
        <v>2097.9899999999998</v>
      </c>
      <c r="O118" s="64"/>
      <c r="P118" s="183"/>
      <c r="Q118" s="191"/>
      <c r="R118" s="320"/>
      <c r="S118" s="321"/>
      <c r="T118" s="58"/>
      <c r="U118" s="193"/>
      <c r="V118" s="194"/>
    </row>
    <row r="119" spans="2:22" x14ac:dyDescent="0.25">
      <c r="B119" s="370"/>
      <c r="C119" s="7" t="s">
        <v>71</v>
      </c>
      <c r="D119" s="181"/>
      <c r="E119" s="181"/>
      <c r="F119" s="181"/>
      <c r="G119" s="205"/>
      <c r="H119" s="332">
        <f t="shared" si="10"/>
        <v>0</v>
      </c>
      <c r="I119" s="328"/>
      <c r="J119" s="328">
        <f t="shared" si="11"/>
        <v>0</v>
      </c>
      <c r="K119" s="325">
        <f>K27+K56</f>
        <v>0</v>
      </c>
      <c r="L119" s="6">
        <f>L27+L56</f>
        <v>0</v>
      </c>
      <c r="M119" s="318">
        <f>M27+M56</f>
        <v>0</v>
      </c>
      <c r="N119" s="319">
        <f>N27+N56</f>
        <v>780</v>
      </c>
      <c r="O119" s="64"/>
      <c r="P119" s="183"/>
      <c r="Q119" s="191"/>
      <c r="R119" s="320"/>
      <c r="S119" s="321"/>
      <c r="T119" s="58"/>
      <c r="U119" s="193"/>
      <c r="V119" s="194"/>
    </row>
    <row r="120" spans="2:22" x14ac:dyDescent="0.25">
      <c r="B120" s="370"/>
      <c r="C120" s="7" t="s">
        <v>72</v>
      </c>
      <c r="D120" s="181"/>
      <c r="E120" s="181"/>
      <c r="F120" s="181"/>
      <c r="G120" s="205"/>
      <c r="H120" s="332">
        <f t="shared" si="10"/>
        <v>0</v>
      </c>
      <c r="I120" s="328"/>
      <c r="J120" s="328">
        <f t="shared" si="11"/>
        <v>0</v>
      </c>
      <c r="K120" s="325">
        <f>K28+K57</f>
        <v>0</v>
      </c>
      <c r="L120" s="6">
        <f>L28+L57</f>
        <v>0</v>
      </c>
      <c r="M120" s="318">
        <f>M28+M57</f>
        <v>0</v>
      </c>
      <c r="N120" s="319"/>
      <c r="O120" s="64"/>
      <c r="P120" s="183"/>
      <c r="Q120" s="191"/>
      <c r="R120" s="320"/>
      <c r="S120" s="321"/>
      <c r="T120" s="58"/>
      <c r="U120" s="193"/>
      <c r="V120" s="194"/>
    </row>
    <row r="121" spans="2:22" x14ac:dyDescent="0.25">
      <c r="B121" s="370"/>
      <c r="C121" s="7" t="s">
        <v>70</v>
      </c>
      <c r="D121" s="181"/>
      <c r="E121" s="181"/>
      <c r="F121" s="181"/>
      <c r="G121" s="205"/>
      <c r="H121" s="332">
        <f t="shared" si="10"/>
        <v>0</v>
      </c>
      <c r="I121" s="328"/>
      <c r="J121" s="328">
        <f t="shared" si="11"/>
        <v>0</v>
      </c>
      <c r="K121" s="325">
        <f>K29+K58</f>
        <v>60</v>
      </c>
      <c r="L121" s="6">
        <f>L29+L58</f>
        <v>0</v>
      </c>
      <c r="M121" s="318">
        <f>M29+M58</f>
        <v>0</v>
      </c>
      <c r="N121" s="319">
        <f>N29+N58</f>
        <v>1140</v>
      </c>
      <c r="O121" s="64"/>
      <c r="P121" s="183"/>
      <c r="Q121" s="191"/>
      <c r="R121" s="320"/>
      <c r="S121" s="321"/>
      <c r="T121" s="58"/>
      <c r="U121" s="193"/>
      <c r="V121" s="194"/>
    </row>
    <row r="122" spans="2:22" x14ac:dyDescent="0.25">
      <c r="B122" s="370"/>
      <c r="C122" s="7" t="s">
        <v>73</v>
      </c>
      <c r="D122" s="181"/>
      <c r="E122" s="181"/>
      <c r="F122" s="181"/>
      <c r="G122" s="205"/>
      <c r="H122" s="332">
        <f t="shared" si="10"/>
        <v>0</v>
      </c>
      <c r="I122" s="328"/>
      <c r="J122" s="328">
        <f t="shared" si="11"/>
        <v>0</v>
      </c>
      <c r="K122" s="325">
        <f>K30+K59</f>
        <v>0</v>
      </c>
      <c r="L122" s="6">
        <f>L30+L59</f>
        <v>0</v>
      </c>
      <c r="M122" s="63">
        <f>M30+M59</f>
        <v>0</v>
      </c>
      <c r="N122" s="182">
        <f>N30+N59</f>
        <v>90</v>
      </c>
      <c r="O122" s="64"/>
      <c r="P122" s="183"/>
      <c r="Q122" s="191"/>
      <c r="R122" s="192"/>
      <c r="S122" s="143"/>
      <c r="T122" s="58"/>
      <c r="U122" s="193"/>
      <c r="V122" s="194"/>
    </row>
    <row r="123" spans="2:22" x14ac:dyDescent="0.25">
      <c r="B123" s="370"/>
      <c r="C123" s="8" t="s">
        <v>212</v>
      </c>
      <c r="D123" s="195"/>
      <c r="E123" s="195"/>
      <c r="F123" s="195"/>
      <c r="G123" s="195"/>
      <c r="H123" s="331">
        <f t="shared" si="10"/>
        <v>0</v>
      </c>
      <c r="I123" s="331"/>
      <c r="J123" s="329">
        <f t="shared" si="11"/>
        <v>0</v>
      </c>
      <c r="K123" s="119">
        <f>K31+K60</f>
        <v>0</v>
      </c>
      <c r="L123" s="43">
        <f>L31+L60</f>
        <v>0</v>
      </c>
      <c r="M123" s="119">
        <f>M31+M60</f>
        <v>108</v>
      </c>
      <c r="N123" s="196"/>
      <c r="O123" s="120"/>
      <c r="P123" s="183"/>
      <c r="Q123" s="197"/>
      <c r="R123" s="198"/>
      <c r="S123" s="199"/>
      <c r="T123" s="59"/>
      <c r="U123" s="193"/>
      <c r="V123" s="200"/>
    </row>
    <row r="124" spans="2:22" ht="15.75" thickBot="1" x14ac:dyDescent="0.3">
      <c r="B124" s="371"/>
      <c r="C124" s="9"/>
      <c r="D124" s="10">
        <f t="shared" ref="D124:O124" si="12">SUM(D97:D123)</f>
        <v>35</v>
      </c>
      <c r="E124" s="323">
        <f t="shared" si="12"/>
        <v>413</v>
      </c>
      <c r="F124" s="323">
        <f t="shared" si="12"/>
        <v>17.2</v>
      </c>
      <c r="G124" s="322">
        <f t="shared" si="12"/>
        <v>1087</v>
      </c>
      <c r="H124" s="65">
        <f t="shared" si="12"/>
        <v>1552.2</v>
      </c>
      <c r="I124" s="10">
        <f t="shared" si="12"/>
        <v>2102.2000000000007</v>
      </c>
      <c r="J124" s="324">
        <f t="shared" si="12"/>
        <v>3654.4</v>
      </c>
      <c r="K124" s="201">
        <f t="shared" si="12"/>
        <v>609092.44999999995</v>
      </c>
      <c r="L124" s="202">
        <f t="shared" si="12"/>
        <v>22748.910000000003</v>
      </c>
      <c r="M124" s="11">
        <f t="shared" si="12"/>
        <v>62632.57</v>
      </c>
      <c r="N124" s="203">
        <f t="shared" si="12"/>
        <v>548248.65999999992</v>
      </c>
      <c r="O124" s="46">
        <f t="shared" si="12"/>
        <v>2898827</v>
      </c>
      <c r="P124" s="20"/>
      <c r="Q124" s="60">
        <f>SUM(Q97:Q123)</f>
        <v>1896.8</v>
      </c>
      <c r="R124" s="44">
        <f>SUM(R97:R123)</f>
        <v>609092.42999999993</v>
      </c>
      <c r="S124" s="12">
        <f>SUM(S97:S123)</f>
        <v>548248.66</v>
      </c>
      <c r="T124" s="61">
        <f>SUM(T97:T123)</f>
        <v>2898827</v>
      </c>
      <c r="U124" s="55"/>
      <c r="V124" s="204">
        <f>SUM(V97:V123)</f>
        <v>548248.65999999992</v>
      </c>
    </row>
    <row r="125" spans="2:22" ht="15.75" thickTop="1" x14ac:dyDescent="0.25"/>
  </sheetData>
  <mergeCells count="7">
    <mergeCell ref="B97:B124"/>
    <mergeCell ref="Q2:T2"/>
    <mergeCell ref="W2:W3"/>
    <mergeCell ref="B5:B32"/>
    <mergeCell ref="D2:O2"/>
    <mergeCell ref="B34:B61"/>
    <mergeCell ref="B64:B94"/>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E4B1-C00F-4F2C-967F-90FED84C31BC}">
  <sheetPr>
    <tabColor theme="9" tint="0.39997558519241921"/>
  </sheetPr>
  <dimension ref="A1:AC145"/>
  <sheetViews>
    <sheetView topLeftCell="A25" zoomScale="115" zoomScaleNormal="115" workbookViewId="0">
      <selection activeCell="E28" sqref="E28"/>
    </sheetView>
  </sheetViews>
  <sheetFormatPr defaultColWidth="8.75" defaultRowHeight="15" x14ac:dyDescent="0.25"/>
  <cols>
    <col min="1" max="1" width="3.25" style="34" customWidth="1"/>
    <col min="2" max="2" width="9.75" style="34" customWidth="1"/>
    <col min="3" max="5" width="12.125" style="34" customWidth="1"/>
    <col min="6" max="8" width="15" style="34" customWidth="1"/>
    <col min="9" max="21" width="12.25" style="34" customWidth="1"/>
    <col min="22" max="16384" width="8.75" style="34"/>
  </cols>
  <sheetData>
    <row r="1" spans="1:29" ht="15.75" thickBot="1" x14ac:dyDescent="0.3">
      <c r="J1" s="33"/>
    </row>
    <row r="2" spans="1:29" ht="14.45" customHeight="1" thickTop="1" thickBot="1" x14ac:dyDescent="0.3">
      <c r="A2" s="379" t="s">
        <v>91</v>
      </c>
      <c r="B2" s="273" t="s">
        <v>198</v>
      </c>
      <c r="C2" s="274" t="s">
        <v>92</v>
      </c>
      <c r="D2" s="274" t="s">
        <v>93</v>
      </c>
      <c r="E2" s="274" t="s">
        <v>53</v>
      </c>
      <c r="F2" s="275" t="s">
        <v>94</v>
      </c>
      <c r="G2" s="275" t="s">
        <v>95</v>
      </c>
      <c r="H2" s="276" t="s">
        <v>96</v>
      </c>
      <c r="I2" s="32"/>
      <c r="J2" s="32"/>
      <c r="K2" s="32"/>
      <c r="L2" s="32"/>
      <c r="M2" s="32"/>
      <c r="N2" s="32"/>
      <c r="O2" s="32"/>
      <c r="P2" s="32"/>
      <c r="Q2" s="32"/>
      <c r="R2" s="32"/>
      <c r="S2" s="146"/>
      <c r="T2" s="146"/>
      <c r="U2" s="146"/>
      <c r="V2" s="146"/>
      <c r="W2" s="146"/>
      <c r="X2" s="146"/>
      <c r="Y2" s="146"/>
      <c r="Z2" s="146"/>
      <c r="AA2" s="146"/>
      <c r="AB2" s="146"/>
      <c r="AC2" s="146"/>
    </row>
    <row r="3" spans="1:29" ht="14.45" customHeight="1" x14ac:dyDescent="0.25">
      <c r="A3" s="380"/>
      <c r="B3" s="266" t="s">
        <v>42</v>
      </c>
      <c r="C3" s="270">
        <v>92.2</v>
      </c>
      <c r="D3" s="270">
        <v>60.6</v>
      </c>
      <c r="E3" s="270">
        <f t="shared" ref="E3:E12" si="0">SUM(C3+D3)</f>
        <v>152.80000000000001</v>
      </c>
      <c r="F3" s="271">
        <f>1880/12</f>
        <v>156.66666666666666</v>
      </c>
      <c r="G3" s="271">
        <f>MAX(F3-E3, 0)</f>
        <v>3.8666666666666458</v>
      </c>
      <c r="H3" s="272">
        <f t="shared" ref="H3:H5" si="1">C3/F3</f>
        <v>0.58851063829787242</v>
      </c>
      <c r="I3" s="32"/>
      <c r="J3" s="32"/>
      <c r="K3" s="32"/>
      <c r="L3" s="32"/>
      <c r="M3" s="32"/>
      <c r="N3" s="32"/>
      <c r="O3" s="32"/>
      <c r="P3" s="32"/>
      <c r="Q3" s="32"/>
      <c r="R3" s="32"/>
      <c r="S3" s="146"/>
      <c r="T3" s="146"/>
      <c r="U3" s="146"/>
      <c r="V3" s="146"/>
      <c r="W3" s="146"/>
      <c r="X3" s="146"/>
      <c r="Y3" s="146"/>
      <c r="Z3" s="146"/>
      <c r="AA3" s="146"/>
      <c r="AB3" s="146"/>
      <c r="AC3" s="146"/>
    </row>
    <row r="4" spans="1:29" ht="14.45" customHeight="1" x14ac:dyDescent="0.25">
      <c r="A4" s="380"/>
      <c r="B4" s="248" t="s">
        <v>43</v>
      </c>
      <c r="C4" s="253">
        <v>105</v>
      </c>
      <c r="D4" s="253">
        <v>36.4</v>
      </c>
      <c r="E4" s="253">
        <f t="shared" si="0"/>
        <v>141.4</v>
      </c>
      <c r="F4" s="254">
        <f t="shared" ref="F4:F12" si="2">1880/12</f>
        <v>156.66666666666666</v>
      </c>
      <c r="G4" s="254">
        <f t="shared" ref="G4:G7" si="3">MAX(F4-E4, 0)</f>
        <v>15.266666666666652</v>
      </c>
      <c r="H4" s="247">
        <f>C4/F4</f>
        <v>0.67021276595744683</v>
      </c>
      <c r="I4" s="32"/>
      <c r="J4" s="32"/>
      <c r="K4" s="32"/>
      <c r="L4" s="32"/>
      <c r="M4" s="32"/>
      <c r="N4" s="32"/>
      <c r="O4" s="32"/>
      <c r="P4" s="32"/>
      <c r="Q4" s="32"/>
      <c r="R4" s="32"/>
      <c r="S4" s="146"/>
      <c r="T4" s="146"/>
      <c r="U4" s="146"/>
      <c r="V4" s="146"/>
      <c r="W4" s="146"/>
      <c r="X4" s="146"/>
      <c r="Y4" s="146"/>
      <c r="Z4" s="146"/>
      <c r="AA4" s="146"/>
      <c r="AB4" s="146"/>
      <c r="AC4" s="146"/>
    </row>
    <row r="5" spans="1:29" ht="14.45" customHeight="1" x14ac:dyDescent="0.25">
      <c r="A5" s="380"/>
      <c r="B5" s="248" t="s">
        <v>44</v>
      </c>
      <c r="C5" s="253">
        <v>111</v>
      </c>
      <c r="D5" s="253">
        <v>67.400000000000006</v>
      </c>
      <c r="E5" s="253">
        <f t="shared" si="0"/>
        <v>178.4</v>
      </c>
      <c r="F5" s="254">
        <f t="shared" si="2"/>
        <v>156.66666666666666</v>
      </c>
      <c r="G5" s="254">
        <f t="shared" si="3"/>
        <v>0</v>
      </c>
      <c r="H5" s="247">
        <f t="shared" si="1"/>
        <v>0.70851063829787242</v>
      </c>
      <c r="I5" s="32"/>
      <c r="J5" s="32"/>
      <c r="K5" s="32"/>
      <c r="L5" s="32"/>
      <c r="M5" s="32"/>
      <c r="N5" s="32"/>
      <c r="O5" s="32"/>
      <c r="P5" s="32"/>
      <c r="Q5" s="32"/>
      <c r="R5" s="32"/>
      <c r="S5" s="146"/>
      <c r="T5" s="146"/>
      <c r="U5" s="146"/>
      <c r="V5" s="146"/>
      <c r="W5" s="146"/>
      <c r="X5" s="146"/>
      <c r="Y5" s="146"/>
      <c r="Z5" s="146"/>
      <c r="AA5" s="146"/>
      <c r="AB5" s="146"/>
      <c r="AC5" s="146"/>
    </row>
    <row r="6" spans="1:29" ht="14.45" customHeight="1" x14ac:dyDescent="0.25">
      <c r="A6" s="380"/>
      <c r="B6" s="248" t="s">
        <v>47</v>
      </c>
      <c r="C6" s="253">
        <v>112</v>
      </c>
      <c r="D6" s="255">
        <v>26.6</v>
      </c>
      <c r="E6" s="253">
        <f t="shared" si="0"/>
        <v>138.6</v>
      </c>
      <c r="F6" s="254">
        <f t="shared" si="2"/>
        <v>156.66666666666666</v>
      </c>
      <c r="G6" s="254">
        <f t="shared" si="3"/>
        <v>18.066666666666663</v>
      </c>
      <c r="H6" s="247">
        <f>C6/F6</f>
        <v>0.71489361702127663</v>
      </c>
      <c r="I6" s="32"/>
      <c r="J6" s="32"/>
      <c r="K6" s="32"/>
      <c r="L6" s="32"/>
      <c r="M6" s="32"/>
      <c r="N6" s="32"/>
      <c r="O6" s="32"/>
      <c r="P6" s="32"/>
      <c r="Q6" s="32"/>
      <c r="R6" s="32"/>
      <c r="S6" s="146"/>
      <c r="T6" s="146"/>
      <c r="U6" s="146"/>
      <c r="V6" s="146"/>
      <c r="W6" s="146"/>
      <c r="X6" s="146"/>
      <c r="Y6" s="146"/>
      <c r="Z6" s="146"/>
      <c r="AA6" s="146"/>
      <c r="AB6" s="146"/>
      <c r="AC6" s="146"/>
    </row>
    <row r="7" spans="1:29" ht="14.45" customHeight="1" x14ac:dyDescent="0.25">
      <c r="A7" s="380"/>
      <c r="B7" s="248" t="s">
        <v>85</v>
      </c>
      <c r="C7" s="253">
        <v>105</v>
      </c>
      <c r="D7" s="253">
        <v>35.799999999999997</v>
      </c>
      <c r="E7" s="253">
        <f t="shared" si="0"/>
        <v>140.80000000000001</v>
      </c>
      <c r="F7" s="254">
        <f t="shared" si="2"/>
        <v>156.66666666666666</v>
      </c>
      <c r="G7" s="254">
        <f t="shared" si="3"/>
        <v>15.866666666666646</v>
      </c>
      <c r="H7" s="247">
        <f t="shared" ref="H7:H12" si="4">C7/F7</f>
        <v>0.67021276595744683</v>
      </c>
      <c r="I7" s="32"/>
      <c r="J7" s="36"/>
      <c r="K7" s="37"/>
      <c r="L7" s="32"/>
      <c r="M7" s="32"/>
      <c r="N7" s="32"/>
      <c r="O7" s="32"/>
      <c r="P7" s="32"/>
      <c r="Q7" s="32"/>
      <c r="R7" s="32"/>
      <c r="S7" s="146"/>
      <c r="T7" s="146"/>
      <c r="U7" s="146"/>
      <c r="V7" s="146"/>
      <c r="W7" s="146"/>
      <c r="X7" s="146"/>
      <c r="Y7" s="146"/>
      <c r="Z7" s="146"/>
      <c r="AA7" s="146"/>
      <c r="AB7" s="146"/>
      <c r="AC7" s="146"/>
    </row>
    <row r="8" spans="1:29" ht="14.45" customHeight="1" x14ac:dyDescent="0.25">
      <c r="A8" s="380"/>
      <c r="B8" s="248" t="s">
        <v>87</v>
      </c>
      <c r="C8" s="253">
        <v>90.6</v>
      </c>
      <c r="D8" s="253">
        <v>14</v>
      </c>
      <c r="E8" s="253">
        <f t="shared" si="0"/>
        <v>104.6</v>
      </c>
      <c r="F8" s="254">
        <f t="shared" si="2"/>
        <v>156.66666666666666</v>
      </c>
      <c r="G8" s="254">
        <f t="shared" ref="G8:G12" si="5">MAX(F8-E8, 0)</f>
        <v>52.066666666666663</v>
      </c>
      <c r="H8" s="247">
        <f t="shared" si="4"/>
        <v>0.57829787234042551</v>
      </c>
      <c r="I8" s="32"/>
      <c r="J8" s="32"/>
      <c r="K8" s="32"/>
      <c r="L8" s="32"/>
      <c r="M8" s="32"/>
      <c r="N8" s="32"/>
      <c r="O8" s="32"/>
      <c r="P8" s="32"/>
      <c r="Q8" s="32"/>
      <c r="R8" s="32"/>
      <c r="S8" s="146"/>
      <c r="T8" s="146"/>
      <c r="U8" s="146"/>
      <c r="V8" s="146"/>
      <c r="W8" s="146"/>
      <c r="X8" s="146"/>
      <c r="Y8" s="146"/>
      <c r="Z8" s="146"/>
      <c r="AA8" s="146"/>
      <c r="AB8" s="146"/>
      <c r="AC8" s="146"/>
    </row>
    <row r="9" spans="1:29" ht="14.45" hidden="1" customHeight="1" x14ac:dyDescent="0.25">
      <c r="A9" s="380"/>
      <c r="B9" s="248" t="s">
        <v>197</v>
      </c>
      <c r="C9" s="253"/>
      <c r="D9" s="253"/>
      <c r="E9" s="253">
        <f t="shared" si="0"/>
        <v>0</v>
      </c>
      <c r="F9" s="254">
        <f t="shared" si="2"/>
        <v>156.66666666666666</v>
      </c>
      <c r="G9" s="254">
        <f t="shared" si="5"/>
        <v>156.66666666666666</v>
      </c>
      <c r="H9" s="247">
        <f t="shared" si="4"/>
        <v>0</v>
      </c>
      <c r="I9" s="32"/>
      <c r="J9" s="32"/>
      <c r="K9" s="32"/>
      <c r="L9" s="32"/>
      <c r="M9" s="32"/>
      <c r="N9" s="32"/>
      <c r="O9" s="32"/>
      <c r="P9" s="32"/>
      <c r="Q9" s="32"/>
      <c r="R9" s="32"/>
      <c r="S9" s="146"/>
      <c r="T9" s="146"/>
      <c r="U9" s="146"/>
      <c r="V9" s="146"/>
      <c r="W9" s="146"/>
      <c r="X9" s="146"/>
      <c r="Y9" s="146"/>
      <c r="Z9" s="146"/>
      <c r="AA9" s="146"/>
      <c r="AB9" s="146"/>
      <c r="AC9" s="146"/>
    </row>
    <row r="10" spans="1:29" ht="14.45" customHeight="1" x14ac:dyDescent="0.25">
      <c r="A10" s="380"/>
      <c r="B10" s="248" t="s">
        <v>49</v>
      </c>
      <c r="C10" s="253">
        <v>88.4</v>
      </c>
      <c r="D10" s="253">
        <v>12.8</v>
      </c>
      <c r="E10" s="253">
        <f t="shared" si="0"/>
        <v>101.2</v>
      </c>
      <c r="F10" s="254">
        <f t="shared" si="2"/>
        <v>156.66666666666666</v>
      </c>
      <c r="G10" s="254">
        <f t="shared" si="5"/>
        <v>55.466666666666654</v>
      </c>
      <c r="H10" s="247">
        <f t="shared" si="4"/>
        <v>0.56425531914893623</v>
      </c>
      <c r="I10" s="32"/>
      <c r="J10" s="32"/>
      <c r="K10" s="32"/>
      <c r="L10" s="32"/>
      <c r="M10" s="32"/>
      <c r="N10" s="32"/>
      <c r="O10" s="32"/>
      <c r="P10" s="32"/>
      <c r="Q10" s="32"/>
      <c r="R10" s="32"/>
      <c r="S10" s="146"/>
      <c r="T10" s="146"/>
      <c r="U10" s="146"/>
      <c r="V10" s="146"/>
      <c r="W10" s="146"/>
      <c r="X10" s="146"/>
      <c r="Y10" s="146"/>
      <c r="Z10" s="146"/>
      <c r="AA10" s="146"/>
      <c r="AB10" s="146"/>
      <c r="AC10" s="146"/>
    </row>
    <row r="11" spans="1:29" ht="14.45" customHeight="1" x14ac:dyDescent="0.25">
      <c r="A11" s="380"/>
      <c r="B11" s="248" t="s">
        <v>48</v>
      </c>
      <c r="C11" s="253">
        <v>93.8</v>
      </c>
      <c r="D11" s="253">
        <v>28.8</v>
      </c>
      <c r="E11" s="253">
        <f t="shared" si="0"/>
        <v>122.6</v>
      </c>
      <c r="F11" s="254">
        <f t="shared" si="2"/>
        <v>156.66666666666666</v>
      </c>
      <c r="G11" s="254">
        <f t="shared" si="5"/>
        <v>34.066666666666663</v>
      </c>
      <c r="H11" s="247">
        <f t="shared" si="4"/>
        <v>0.59872340425531911</v>
      </c>
      <c r="I11" s="32"/>
      <c r="J11" s="32"/>
      <c r="K11" s="32"/>
      <c r="L11" s="32"/>
      <c r="M11" s="32"/>
      <c r="N11" s="32"/>
      <c r="O11" s="32"/>
      <c r="P11" s="32"/>
      <c r="Q11" s="32"/>
      <c r="R11" s="32"/>
      <c r="S11" s="146"/>
      <c r="T11" s="146"/>
      <c r="U11" s="146"/>
      <c r="V11" s="146"/>
      <c r="W11" s="146"/>
      <c r="X11" s="146"/>
      <c r="Y11" s="146"/>
      <c r="Z11" s="146"/>
      <c r="AA11" s="146"/>
      <c r="AB11" s="146"/>
      <c r="AC11" s="146"/>
    </row>
    <row r="12" spans="1:29" ht="14.45" customHeight="1" thickBot="1" x14ac:dyDescent="0.3">
      <c r="A12" s="381"/>
      <c r="B12" s="249" t="s">
        <v>50</v>
      </c>
      <c r="C12" s="250">
        <v>108</v>
      </c>
      <c r="D12" s="250">
        <v>6</v>
      </c>
      <c r="E12" s="250">
        <f t="shared" si="0"/>
        <v>114</v>
      </c>
      <c r="F12" s="251">
        <f t="shared" si="2"/>
        <v>156.66666666666666</v>
      </c>
      <c r="G12" s="251">
        <f t="shared" si="5"/>
        <v>42.666666666666657</v>
      </c>
      <c r="H12" s="252">
        <f t="shared" si="4"/>
        <v>0.68936170212765957</v>
      </c>
      <c r="I12" s="32"/>
      <c r="J12" s="32"/>
      <c r="K12" s="32"/>
      <c r="L12" s="32"/>
      <c r="M12" s="32"/>
      <c r="N12" s="32"/>
      <c r="O12" s="32"/>
      <c r="P12" s="32"/>
      <c r="Q12" s="32"/>
      <c r="R12" s="32"/>
      <c r="S12" s="146"/>
      <c r="T12" s="146"/>
      <c r="U12" s="146"/>
      <c r="V12" s="146"/>
      <c r="W12" s="146"/>
      <c r="X12" s="146"/>
      <c r="Y12" s="146"/>
      <c r="Z12" s="146"/>
      <c r="AA12" s="146"/>
      <c r="AB12" s="146"/>
      <c r="AC12" s="146"/>
    </row>
    <row r="13" spans="1:29" ht="14.45" customHeight="1" thickTop="1" thickBot="1" x14ac:dyDescent="0.3">
      <c r="A13" s="147"/>
      <c r="C13" s="32"/>
      <c r="D13" s="32"/>
      <c r="E13" s="32"/>
      <c r="F13" s="32"/>
      <c r="G13" s="32"/>
      <c r="H13" s="32"/>
      <c r="I13" s="32"/>
      <c r="J13" s="32"/>
      <c r="K13" s="32"/>
      <c r="L13" s="32"/>
      <c r="M13" s="32"/>
      <c r="N13" s="32"/>
      <c r="O13" s="32"/>
      <c r="P13" s="32"/>
      <c r="Q13" s="32"/>
      <c r="R13" s="32"/>
      <c r="S13" s="146"/>
      <c r="T13" s="146"/>
      <c r="U13" s="146"/>
      <c r="V13" s="146"/>
      <c r="W13" s="146"/>
      <c r="X13" s="146"/>
      <c r="Y13" s="146"/>
      <c r="Z13" s="146"/>
      <c r="AA13" s="146"/>
      <c r="AB13" s="146"/>
      <c r="AC13" s="146"/>
    </row>
    <row r="14" spans="1:29" ht="16.5" thickTop="1" thickBot="1" x14ac:dyDescent="0.3">
      <c r="A14" s="379" t="s">
        <v>97</v>
      </c>
      <c r="B14" s="273" t="s">
        <v>198</v>
      </c>
      <c r="C14" s="274" t="s">
        <v>92</v>
      </c>
      <c r="D14" s="274" t="s">
        <v>93</v>
      </c>
      <c r="E14" s="274" t="s">
        <v>53</v>
      </c>
      <c r="F14" s="275" t="s">
        <v>94</v>
      </c>
      <c r="G14" s="275" t="s">
        <v>95</v>
      </c>
      <c r="H14" s="276" t="s">
        <v>96</v>
      </c>
      <c r="S14" s="382"/>
      <c r="T14" s="382"/>
      <c r="U14" s="382"/>
      <c r="V14" s="382"/>
      <c r="W14" s="382"/>
      <c r="X14" s="382"/>
      <c r="Y14" s="382"/>
      <c r="Z14" s="382"/>
      <c r="AA14" s="382"/>
      <c r="AB14" s="382"/>
      <c r="AC14" s="382"/>
    </row>
    <row r="15" spans="1:29" ht="15.75" x14ac:dyDescent="0.25">
      <c r="A15" s="380"/>
      <c r="B15" s="266" t="s">
        <v>42</v>
      </c>
      <c r="C15" s="270">
        <v>237</v>
      </c>
      <c r="D15" s="270">
        <v>60.8</v>
      </c>
      <c r="E15" s="270">
        <f t="shared" ref="E15:E24" si="6">SUM(C15+D15)</f>
        <v>297.8</v>
      </c>
      <c r="F15" s="271">
        <f>1880/12</f>
        <v>156.66666666666666</v>
      </c>
      <c r="G15" s="271">
        <f>MAX(F15-E15, 0)</f>
        <v>0</v>
      </c>
      <c r="H15" s="272">
        <f t="shared" ref="H15" si="7">C15/F15</f>
        <v>1.5127659574468086</v>
      </c>
      <c r="S15" s="382"/>
      <c r="T15" s="382"/>
      <c r="U15" s="382"/>
      <c r="V15" s="382"/>
      <c r="W15" s="382"/>
      <c r="X15" s="382"/>
      <c r="Y15" s="382"/>
      <c r="Z15" s="382"/>
      <c r="AA15" s="382"/>
      <c r="AB15" s="382"/>
      <c r="AC15" s="382"/>
    </row>
    <row r="16" spans="1:29" ht="15.75" x14ac:dyDescent="0.25">
      <c r="A16" s="380"/>
      <c r="B16" s="248" t="s">
        <v>43</v>
      </c>
      <c r="C16" s="253">
        <v>142</v>
      </c>
      <c r="D16" s="253">
        <v>34.799999999999997</v>
      </c>
      <c r="E16" s="253">
        <f t="shared" si="6"/>
        <v>176.8</v>
      </c>
      <c r="F16" s="254">
        <f t="shared" ref="F16:F24" si="8">1880/12</f>
        <v>156.66666666666666</v>
      </c>
      <c r="G16" s="254">
        <f t="shared" ref="G16:G24" si="9">MAX(F16-E16, 0)</f>
        <v>0</v>
      </c>
      <c r="H16" s="247">
        <f>C16/F16</f>
        <v>0.90638297872340434</v>
      </c>
      <c r="S16" s="382"/>
      <c r="T16" s="382"/>
      <c r="U16" s="382"/>
      <c r="V16" s="382"/>
      <c r="W16" s="382"/>
      <c r="X16" s="382"/>
      <c r="Y16" s="382"/>
      <c r="Z16" s="382"/>
      <c r="AA16" s="382"/>
      <c r="AB16" s="382"/>
      <c r="AC16" s="382"/>
    </row>
    <row r="17" spans="1:29" ht="15.75" x14ac:dyDescent="0.25">
      <c r="A17" s="380"/>
      <c r="B17" s="248" t="s">
        <v>44</v>
      </c>
      <c r="C17" s="253">
        <v>154</v>
      </c>
      <c r="D17" s="253">
        <v>60.4</v>
      </c>
      <c r="E17" s="253">
        <f t="shared" si="6"/>
        <v>214.4</v>
      </c>
      <c r="F17" s="254">
        <f t="shared" si="8"/>
        <v>156.66666666666666</v>
      </c>
      <c r="G17" s="254">
        <f t="shared" si="9"/>
        <v>0</v>
      </c>
      <c r="H17" s="247">
        <f t="shared" ref="H17" si="10">C17/F17</f>
        <v>0.98297872340425541</v>
      </c>
      <c r="S17" s="382"/>
      <c r="T17" s="382"/>
      <c r="U17" s="382"/>
      <c r="V17" s="382"/>
      <c r="W17" s="382"/>
      <c r="X17" s="382"/>
      <c r="Y17" s="382"/>
      <c r="Z17" s="382"/>
      <c r="AA17" s="382"/>
      <c r="AB17" s="382"/>
      <c r="AC17" s="382"/>
    </row>
    <row r="18" spans="1:29" ht="15.75" x14ac:dyDescent="0.25">
      <c r="A18" s="380"/>
      <c r="B18" s="248" t="s">
        <v>47</v>
      </c>
      <c r="C18" s="253">
        <v>28.4</v>
      </c>
      <c r="D18" s="255">
        <v>7</v>
      </c>
      <c r="E18" s="253">
        <f t="shared" si="6"/>
        <v>35.4</v>
      </c>
      <c r="F18" s="254">
        <f t="shared" si="8"/>
        <v>156.66666666666666</v>
      </c>
      <c r="G18" s="254">
        <f t="shared" si="9"/>
        <v>121.26666666666665</v>
      </c>
      <c r="H18" s="247">
        <f>C18/F18</f>
        <v>0.18127659574468086</v>
      </c>
      <c r="S18" s="382"/>
      <c r="T18" s="382"/>
      <c r="U18" s="382"/>
      <c r="V18" s="382"/>
      <c r="W18" s="382"/>
      <c r="X18" s="382"/>
      <c r="Y18" s="382"/>
      <c r="Z18" s="382"/>
      <c r="AA18" s="382"/>
      <c r="AB18" s="382"/>
      <c r="AC18" s="382"/>
    </row>
    <row r="19" spans="1:29" ht="15.75" x14ac:dyDescent="0.25">
      <c r="A19" s="380"/>
      <c r="B19" s="248" t="s">
        <v>85</v>
      </c>
      <c r="C19" s="253">
        <v>111</v>
      </c>
      <c r="D19" s="253">
        <v>21.2</v>
      </c>
      <c r="E19" s="253">
        <f t="shared" si="6"/>
        <v>132.19999999999999</v>
      </c>
      <c r="F19" s="254">
        <f t="shared" si="8"/>
        <v>156.66666666666666</v>
      </c>
      <c r="G19" s="254">
        <f t="shared" si="9"/>
        <v>24.466666666666669</v>
      </c>
      <c r="H19" s="247">
        <f t="shared" ref="H19:H24" si="11">C19/F19</f>
        <v>0.70851063829787242</v>
      </c>
      <c r="S19" s="382"/>
      <c r="T19" s="382"/>
      <c r="U19" s="382"/>
      <c r="V19" s="382"/>
      <c r="W19" s="382"/>
      <c r="X19" s="382"/>
      <c r="Y19" s="382"/>
      <c r="Z19" s="382"/>
      <c r="AA19" s="382"/>
      <c r="AB19" s="382"/>
      <c r="AC19" s="382"/>
    </row>
    <row r="20" spans="1:29" ht="15.75" x14ac:dyDescent="0.25">
      <c r="A20" s="380"/>
      <c r="B20" s="248" t="s">
        <v>87</v>
      </c>
      <c r="C20" s="253">
        <v>120</v>
      </c>
      <c r="D20" s="253">
        <v>0.8</v>
      </c>
      <c r="E20" s="253">
        <f t="shared" si="6"/>
        <v>120.8</v>
      </c>
      <c r="F20" s="254">
        <f t="shared" si="8"/>
        <v>156.66666666666666</v>
      </c>
      <c r="G20" s="254">
        <f t="shared" si="9"/>
        <v>35.86666666666666</v>
      </c>
      <c r="H20" s="247">
        <f t="shared" si="11"/>
        <v>0.76595744680851063</v>
      </c>
      <c r="S20" s="382"/>
      <c r="T20" s="382"/>
      <c r="U20" s="382"/>
      <c r="V20" s="382"/>
      <c r="W20" s="382"/>
      <c r="X20" s="382"/>
      <c r="Y20" s="382"/>
      <c r="Z20" s="382"/>
      <c r="AA20" s="382"/>
      <c r="AB20" s="382"/>
      <c r="AC20" s="382"/>
    </row>
    <row r="21" spans="1:29" ht="15.75" hidden="1" x14ac:dyDescent="0.25">
      <c r="A21" s="380"/>
      <c r="B21" s="248" t="s">
        <v>197</v>
      </c>
      <c r="C21" s="253"/>
      <c r="D21" s="253"/>
      <c r="E21" s="253">
        <f t="shared" si="6"/>
        <v>0</v>
      </c>
      <c r="F21" s="254">
        <f t="shared" si="8"/>
        <v>156.66666666666666</v>
      </c>
      <c r="G21" s="254">
        <f t="shared" si="9"/>
        <v>156.66666666666666</v>
      </c>
      <c r="H21" s="247">
        <f t="shared" si="11"/>
        <v>0</v>
      </c>
      <c r="S21" s="382"/>
      <c r="T21" s="382"/>
      <c r="U21" s="382"/>
      <c r="V21" s="382"/>
      <c r="W21" s="382"/>
      <c r="X21" s="382"/>
      <c r="Y21" s="382"/>
      <c r="Z21" s="382"/>
      <c r="AA21" s="382"/>
      <c r="AB21" s="382"/>
      <c r="AC21" s="382"/>
    </row>
    <row r="22" spans="1:29" ht="15.75" x14ac:dyDescent="0.25">
      <c r="A22" s="380"/>
      <c r="B22" s="248" t="s">
        <v>49</v>
      </c>
      <c r="C22" s="253">
        <v>135</v>
      </c>
      <c r="D22" s="253">
        <v>17.399999999999999</v>
      </c>
      <c r="E22" s="253">
        <f t="shared" si="6"/>
        <v>152.4</v>
      </c>
      <c r="F22" s="254">
        <f t="shared" si="8"/>
        <v>156.66666666666666</v>
      </c>
      <c r="G22" s="254">
        <f t="shared" si="9"/>
        <v>4.2666666666666515</v>
      </c>
      <c r="H22" s="247">
        <f t="shared" si="11"/>
        <v>0.86170212765957455</v>
      </c>
      <c r="S22" s="382"/>
      <c r="T22" s="382"/>
      <c r="U22" s="382"/>
      <c r="V22" s="382"/>
      <c r="W22" s="382"/>
      <c r="X22" s="382"/>
      <c r="Y22" s="382"/>
      <c r="Z22" s="382"/>
      <c r="AA22" s="382"/>
      <c r="AB22" s="382"/>
      <c r="AC22" s="382"/>
    </row>
    <row r="23" spans="1:29" ht="15.75" x14ac:dyDescent="0.25">
      <c r="A23" s="380"/>
      <c r="B23" s="248" t="s">
        <v>48</v>
      </c>
      <c r="C23" s="253">
        <v>98.8</v>
      </c>
      <c r="D23" s="253">
        <v>35.799999999999997</v>
      </c>
      <c r="E23" s="253">
        <f t="shared" si="6"/>
        <v>134.6</v>
      </c>
      <c r="F23" s="254">
        <f t="shared" si="8"/>
        <v>156.66666666666666</v>
      </c>
      <c r="G23" s="254">
        <f t="shared" si="9"/>
        <v>22.066666666666663</v>
      </c>
      <c r="H23" s="247">
        <f t="shared" si="11"/>
        <v>0.63063829787234049</v>
      </c>
      <c r="S23" s="382"/>
      <c r="T23" s="382"/>
      <c r="U23" s="382"/>
      <c r="V23" s="382"/>
      <c r="W23" s="382"/>
      <c r="X23" s="382"/>
      <c r="Y23" s="382"/>
      <c r="Z23" s="382"/>
      <c r="AA23" s="382"/>
      <c r="AB23" s="382"/>
      <c r="AC23" s="382"/>
    </row>
    <row r="24" spans="1:29" ht="16.5" thickBot="1" x14ac:dyDescent="0.3">
      <c r="A24" s="381"/>
      <c r="B24" s="249" t="s">
        <v>50</v>
      </c>
      <c r="C24" s="250">
        <v>126</v>
      </c>
      <c r="D24" s="250">
        <v>8</v>
      </c>
      <c r="E24" s="250">
        <f t="shared" si="6"/>
        <v>134</v>
      </c>
      <c r="F24" s="251">
        <f t="shared" si="8"/>
        <v>156.66666666666666</v>
      </c>
      <c r="G24" s="251">
        <f t="shared" si="9"/>
        <v>22.666666666666657</v>
      </c>
      <c r="H24" s="252">
        <f t="shared" si="11"/>
        <v>0.80425531914893622</v>
      </c>
      <c r="S24" s="382"/>
      <c r="T24" s="382"/>
      <c r="U24" s="382"/>
      <c r="V24" s="382"/>
      <c r="W24" s="382"/>
      <c r="X24" s="382"/>
      <c r="Y24" s="382"/>
      <c r="Z24" s="382"/>
      <c r="AA24" s="382"/>
      <c r="AB24" s="382"/>
      <c r="AC24" s="382"/>
    </row>
    <row r="25" spans="1:29" ht="16.5" thickTop="1" thickBot="1" x14ac:dyDescent="0.3">
      <c r="S25" s="382"/>
      <c r="T25" s="382"/>
      <c r="U25" s="382"/>
      <c r="V25" s="382"/>
      <c r="W25" s="382"/>
      <c r="X25" s="382"/>
      <c r="Y25" s="382"/>
      <c r="Z25" s="382"/>
      <c r="AA25" s="382"/>
      <c r="AB25" s="382"/>
      <c r="AC25" s="382"/>
    </row>
    <row r="26" spans="1:29" ht="16.5" thickTop="1" thickBot="1" x14ac:dyDescent="0.3">
      <c r="A26" s="379" t="s">
        <v>98</v>
      </c>
      <c r="B26" s="273" t="s">
        <v>198</v>
      </c>
      <c r="C26" s="274" t="s">
        <v>92</v>
      </c>
      <c r="D26" s="274" t="s">
        <v>93</v>
      </c>
      <c r="E26" s="274" t="s">
        <v>53</v>
      </c>
      <c r="F26" s="275" t="s">
        <v>94</v>
      </c>
      <c r="G26" s="275" t="s">
        <v>95</v>
      </c>
      <c r="H26" s="276" t="s">
        <v>96</v>
      </c>
    </row>
    <row r="27" spans="1:29" ht="15.75" x14ac:dyDescent="0.25">
      <c r="A27" s="380"/>
      <c r="B27" s="266" t="s">
        <v>42</v>
      </c>
      <c r="C27" s="270">
        <v>279</v>
      </c>
      <c r="D27" s="270">
        <v>41.4</v>
      </c>
      <c r="E27" s="270">
        <f t="shared" ref="E27:E36" si="12">SUM(C27+D27)</f>
        <v>320.39999999999998</v>
      </c>
      <c r="F27" s="271">
        <f>1880/12</f>
        <v>156.66666666666666</v>
      </c>
      <c r="G27" s="271">
        <f>MAX(F27-E27, 0)</f>
        <v>0</v>
      </c>
      <c r="H27" s="272">
        <f t="shared" ref="H27" si="13">C27/F27</f>
        <v>1.7808510638297874</v>
      </c>
    </row>
    <row r="28" spans="1:29" ht="15.75" x14ac:dyDescent="0.25">
      <c r="A28" s="380"/>
      <c r="B28" s="248" t="s">
        <v>43</v>
      </c>
      <c r="C28" s="253">
        <v>170</v>
      </c>
      <c r="D28" s="253">
        <v>31.8</v>
      </c>
      <c r="E28" s="253">
        <f t="shared" si="12"/>
        <v>201.8</v>
      </c>
      <c r="F28" s="254">
        <f t="shared" ref="F28:F36" si="14">1880/12</f>
        <v>156.66666666666666</v>
      </c>
      <c r="G28" s="254">
        <f t="shared" ref="G28:G36" si="15">MAX(F28-E28, 0)</f>
        <v>0</v>
      </c>
      <c r="H28" s="247">
        <f>C28/F28</f>
        <v>1.0851063829787235</v>
      </c>
    </row>
    <row r="29" spans="1:29" ht="15.75" x14ac:dyDescent="0.25">
      <c r="A29" s="380"/>
      <c r="B29" s="248" t="s">
        <v>44</v>
      </c>
      <c r="C29" s="253">
        <v>219</v>
      </c>
      <c r="D29" s="253">
        <v>77.599999999999994</v>
      </c>
      <c r="E29" s="253">
        <f t="shared" si="12"/>
        <v>296.60000000000002</v>
      </c>
      <c r="F29" s="254">
        <f t="shared" si="14"/>
        <v>156.66666666666666</v>
      </c>
      <c r="G29" s="254">
        <f t="shared" si="15"/>
        <v>0</v>
      </c>
      <c r="H29" s="247">
        <f t="shared" ref="H29" si="16">C29/F29</f>
        <v>1.397872340425532</v>
      </c>
    </row>
    <row r="30" spans="1:29" ht="15.75" x14ac:dyDescent="0.25">
      <c r="A30" s="380"/>
      <c r="B30" s="248" t="s">
        <v>47</v>
      </c>
      <c r="C30" s="253">
        <v>134</v>
      </c>
      <c r="D30" s="255">
        <v>18.8</v>
      </c>
      <c r="E30" s="253">
        <f t="shared" si="12"/>
        <v>152.80000000000001</v>
      </c>
      <c r="F30" s="254">
        <f t="shared" si="14"/>
        <v>156.66666666666666</v>
      </c>
      <c r="G30" s="254">
        <f t="shared" si="15"/>
        <v>3.8666666666666458</v>
      </c>
      <c r="H30" s="247">
        <f>C30/F30</f>
        <v>0.85531914893617023</v>
      </c>
    </row>
    <row r="31" spans="1:29" ht="15.75" x14ac:dyDescent="0.25">
      <c r="A31" s="380"/>
      <c r="B31" s="248" t="s">
        <v>85</v>
      </c>
      <c r="C31" s="253">
        <v>115</v>
      </c>
      <c r="D31" s="253">
        <v>29.2</v>
      </c>
      <c r="E31" s="253">
        <f t="shared" si="12"/>
        <v>144.19999999999999</v>
      </c>
      <c r="F31" s="254">
        <f t="shared" si="14"/>
        <v>156.66666666666666</v>
      </c>
      <c r="G31" s="254">
        <f t="shared" si="15"/>
        <v>12.466666666666669</v>
      </c>
      <c r="H31" s="247">
        <f t="shared" ref="H31:H36" si="17">C31/F31</f>
        <v>0.73404255319148937</v>
      </c>
    </row>
    <row r="32" spans="1:29" ht="15.75" x14ac:dyDescent="0.25">
      <c r="A32" s="380"/>
      <c r="B32" s="248" t="s">
        <v>87</v>
      </c>
      <c r="C32" s="253">
        <v>111</v>
      </c>
      <c r="D32" s="253">
        <v>5.6</v>
      </c>
      <c r="E32" s="253">
        <f t="shared" si="12"/>
        <v>116.6</v>
      </c>
      <c r="F32" s="254">
        <f t="shared" si="14"/>
        <v>156.66666666666666</v>
      </c>
      <c r="G32" s="254">
        <f t="shared" si="15"/>
        <v>40.066666666666663</v>
      </c>
      <c r="H32" s="247">
        <f t="shared" si="17"/>
        <v>0.70851063829787242</v>
      </c>
    </row>
    <row r="33" spans="1:8" ht="15.75" x14ac:dyDescent="0.25">
      <c r="A33" s="380"/>
      <c r="B33" s="248" t="s">
        <v>197</v>
      </c>
      <c r="C33" s="253">
        <v>72.8</v>
      </c>
      <c r="D33" s="253">
        <v>25.8</v>
      </c>
      <c r="E33" s="253">
        <f t="shared" si="12"/>
        <v>98.6</v>
      </c>
      <c r="F33" s="254">
        <f>156.67/2</f>
        <v>78.334999999999994</v>
      </c>
      <c r="G33" s="254">
        <f t="shared" si="15"/>
        <v>0</v>
      </c>
      <c r="H33" s="247">
        <f t="shared" si="17"/>
        <v>0.9293419288951299</v>
      </c>
    </row>
    <row r="34" spans="1:8" ht="15.75" x14ac:dyDescent="0.25">
      <c r="A34" s="380"/>
      <c r="B34" s="248" t="s">
        <v>49</v>
      </c>
      <c r="C34" s="253">
        <v>92.8</v>
      </c>
      <c r="D34" s="253">
        <v>26.2</v>
      </c>
      <c r="E34" s="253">
        <f t="shared" si="12"/>
        <v>119</v>
      </c>
      <c r="F34" s="254">
        <f t="shared" si="14"/>
        <v>156.66666666666666</v>
      </c>
      <c r="G34" s="254">
        <f t="shared" si="15"/>
        <v>37.666666666666657</v>
      </c>
      <c r="H34" s="247">
        <f t="shared" si="17"/>
        <v>0.5923404255319149</v>
      </c>
    </row>
    <row r="35" spans="1:8" ht="15.75" x14ac:dyDescent="0.25">
      <c r="A35" s="380"/>
      <c r="B35" s="248" t="s">
        <v>48</v>
      </c>
      <c r="C35" s="253">
        <v>123</v>
      </c>
      <c r="D35" s="253">
        <v>25.2</v>
      </c>
      <c r="E35" s="253">
        <f t="shared" si="12"/>
        <v>148.19999999999999</v>
      </c>
      <c r="F35" s="254">
        <f t="shared" si="14"/>
        <v>156.66666666666666</v>
      </c>
      <c r="G35" s="254">
        <f t="shared" si="15"/>
        <v>8.4666666666666686</v>
      </c>
      <c r="H35" s="247">
        <f t="shared" si="17"/>
        <v>0.78510638297872348</v>
      </c>
    </row>
    <row r="36" spans="1:8" ht="16.5" thickBot="1" x14ac:dyDescent="0.3">
      <c r="A36" s="381"/>
      <c r="B36" s="249" t="s">
        <v>50</v>
      </c>
      <c r="C36" s="250">
        <v>130</v>
      </c>
      <c r="D36" s="250">
        <v>16.600000000000001</v>
      </c>
      <c r="E36" s="250">
        <f t="shared" si="12"/>
        <v>146.6</v>
      </c>
      <c r="F36" s="251">
        <f t="shared" si="14"/>
        <v>156.66666666666666</v>
      </c>
      <c r="G36" s="251">
        <f t="shared" si="15"/>
        <v>10.066666666666663</v>
      </c>
      <c r="H36" s="252">
        <f t="shared" si="17"/>
        <v>0.82978723404255328</v>
      </c>
    </row>
    <row r="37" spans="1:8" ht="16.5" thickTop="1" thickBot="1" x14ac:dyDescent="0.3"/>
    <row r="38" spans="1:8" ht="16.5" thickTop="1" thickBot="1" x14ac:dyDescent="0.3">
      <c r="A38" s="379" t="s">
        <v>99</v>
      </c>
      <c r="B38" s="273" t="s">
        <v>198</v>
      </c>
      <c r="C38" s="274" t="s">
        <v>92</v>
      </c>
      <c r="D38" s="274" t="s">
        <v>93</v>
      </c>
      <c r="E38" s="274" t="s">
        <v>53</v>
      </c>
      <c r="F38" s="275" t="s">
        <v>94</v>
      </c>
      <c r="G38" s="275" t="s">
        <v>95</v>
      </c>
      <c r="H38" s="276" t="s">
        <v>96</v>
      </c>
    </row>
    <row r="39" spans="1:8" ht="15.75" x14ac:dyDescent="0.25">
      <c r="A39" s="380"/>
      <c r="B39" s="266" t="s">
        <v>42</v>
      </c>
      <c r="C39" s="270"/>
      <c r="D39" s="270"/>
      <c r="E39" s="270">
        <f t="shared" ref="E39:E48" si="18">SUM(C39+D39)</f>
        <v>0</v>
      </c>
      <c r="F39" s="271">
        <f>1880/12</f>
        <v>156.66666666666666</v>
      </c>
      <c r="G39" s="271">
        <f>MAX(F39-E39, 0)</f>
        <v>156.66666666666666</v>
      </c>
      <c r="H39" s="272">
        <f t="shared" ref="H39" si="19">C39/F39</f>
        <v>0</v>
      </c>
    </row>
    <row r="40" spans="1:8" ht="15.75" x14ac:dyDescent="0.25">
      <c r="A40" s="380"/>
      <c r="B40" s="248" t="s">
        <v>43</v>
      </c>
      <c r="C40" s="253"/>
      <c r="D40" s="253"/>
      <c r="E40" s="253">
        <f t="shared" si="18"/>
        <v>0</v>
      </c>
      <c r="F40" s="254">
        <f t="shared" ref="F40:F48" si="20">1880/12</f>
        <v>156.66666666666666</v>
      </c>
      <c r="G40" s="254">
        <f t="shared" ref="G40:G48" si="21">MAX(F40-E40, 0)</f>
        <v>156.66666666666666</v>
      </c>
      <c r="H40" s="247">
        <f>C40/F40</f>
        <v>0</v>
      </c>
    </row>
    <row r="41" spans="1:8" ht="15.75" x14ac:dyDescent="0.25">
      <c r="A41" s="380"/>
      <c r="B41" s="248" t="s">
        <v>44</v>
      </c>
      <c r="C41" s="253"/>
      <c r="D41" s="253"/>
      <c r="E41" s="253">
        <f t="shared" si="18"/>
        <v>0</v>
      </c>
      <c r="F41" s="254">
        <f t="shared" si="20"/>
        <v>156.66666666666666</v>
      </c>
      <c r="G41" s="254">
        <f t="shared" si="21"/>
        <v>156.66666666666666</v>
      </c>
      <c r="H41" s="247">
        <f t="shared" ref="H41" si="22">C41/F41</f>
        <v>0</v>
      </c>
    </row>
    <row r="42" spans="1:8" ht="15.75" x14ac:dyDescent="0.25">
      <c r="A42" s="380"/>
      <c r="B42" s="248" t="s">
        <v>47</v>
      </c>
      <c r="C42" s="253"/>
      <c r="D42" s="255"/>
      <c r="E42" s="253">
        <f t="shared" si="18"/>
        <v>0</v>
      </c>
      <c r="F42" s="254">
        <f t="shared" si="20"/>
        <v>156.66666666666666</v>
      </c>
      <c r="G42" s="254">
        <f t="shared" si="21"/>
        <v>156.66666666666666</v>
      </c>
      <c r="H42" s="247">
        <f>C42/F42</f>
        <v>0</v>
      </c>
    </row>
    <row r="43" spans="1:8" ht="15.75" x14ac:dyDescent="0.25">
      <c r="A43" s="380"/>
      <c r="B43" s="248" t="s">
        <v>85</v>
      </c>
      <c r="C43" s="253"/>
      <c r="D43" s="253"/>
      <c r="E43" s="253">
        <f t="shared" si="18"/>
        <v>0</v>
      </c>
      <c r="F43" s="254">
        <f t="shared" si="20"/>
        <v>156.66666666666666</v>
      </c>
      <c r="G43" s="254">
        <f t="shared" si="21"/>
        <v>156.66666666666666</v>
      </c>
      <c r="H43" s="247">
        <f t="shared" ref="H43:H48" si="23">C43/F43</f>
        <v>0</v>
      </c>
    </row>
    <row r="44" spans="1:8" ht="15.75" x14ac:dyDescent="0.25">
      <c r="A44" s="380"/>
      <c r="B44" s="248" t="s">
        <v>87</v>
      </c>
      <c r="C44" s="253"/>
      <c r="D44" s="253"/>
      <c r="E44" s="253">
        <f t="shared" si="18"/>
        <v>0</v>
      </c>
      <c r="F44" s="254">
        <f t="shared" si="20"/>
        <v>156.66666666666666</v>
      </c>
      <c r="G44" s="254">
        <f t="shared" si="21"/>
        <v>156.66666666666666</v>
      </c>
      <c r="H44" s="247">
        <f t="shared" si="23"/>
        <v>0</v>
      </c>
    </row>
    <row r="45" spans="1:8" ht="15.75" x14ac:dyDescent="0.25">
      <c r="A45" s="380"/>
      <c r="B45" s="248" t="s">
        <v>197</v>
      </c>
      <c r="C45" s="253"/>
      <c r="D45" s="253"/>
      <c r="E45" s="253">
        <f t="shared" si="18"/>
        <v>0</v>
      </c>
      <c r="F45" s="254">
        <f t="shared" si="20"/>
        <v>156.66666666666666</v>
      </c>
      <c r="G45" s="254">
        <f t="shared" si="21"/>
        <v>156.66666666666666</v>
      </c>
      <c r="H45" s="247">
        <f t="shared" si="23"/>
        <v>0</v>
      </c>
    </row>
    <row r="46" spans="1:8" ht="15.75" x14ac:dyDescent="0.25">
      <c r="A46" s="380"/>
      <c r="B46" s="248" t="s">
        <v>49</v>
      </c>
      <c r="C46" s="253"/>
      <c r="D46" s="253"/>
      <c r="E46" s="253">
        <f t="shared" si="18"/>
        <v>0</v>
      </c>
      <c r="F46" s="254">
        <f t="shared" si="20"/>
        <v>156.66666666666666</v>
      </c>
      <c r="G46" s="254">
        <f t="shared" si="21"/>
        <v>156.66666666666666</v>
      </c>
      <c r="H46" s="247">
        <f t="shared" si="23"/>
        <v>0</v>
      </c>
    </row>
    <row r="47" spans="1:8" ht="15.75" x14ac:dyDescent="0.25">
      <c r="A47" s="380"/>
      <c r="B47" s="248" t="s">
        <v>48</v>
      </c>
      <c r="C47" s="253"/>
      <c r="D47" s="253"/>
      <c r="E47" s="253">
        <f t="shared" si="18"/>
        <v>0</v>
      </c>
      <c r="F47" s="254">
        <f t="shared" si="20"/>
        <v>156.66666666666666</v>
      </c>
      <c r="G47" s="254">
        <f t="shared" si="21"/>
        <v>156.66666666666666</v>
      </c>
      <c r="H47" s="247">
        <f t="shared" si="23"/>
        <v>0</v>
      </c>
    </row>
    <row r="48" spans="1:8" ht="16.5" thickBot="1" x14ac:dyDescent="0.3">
      <c r="A48" s="381"/>
      <c r="B48" s="249" t="s">
        <v>50</v>
      </c>
      <c r="C48" s="250"/>
      <c r="D48" s="250"/>
      <c r="E48" s="250">
        <f t="shared" si="18"/>
        <v>0</v>
      </c>
      <c r="F48" s="251">
        <f t="shared" si="20"/>
        <v>156.66666666666666</v>
      </c>
      <c r="G48" s="251">
        <f t="shared" si="21"/>
        <v>156.66666666666666</v>
      </c>
      <c r="H48" s="252">
        <f t="shared" si="23"/>
        <v>0</v>
      </c>
    </row>
    <row r="49" spans="1:8" ht="16.5" thickTop="1" thickBot="1" x14ac:dyDescent="0.3"/>
    <row r="50" spans="1:8" ht="16.5" thickTop="1" thickBot="1" x14ac:dyDescent="0.3">
      <c r="A50" s="379" t="s">
        <v>100</v>
      </c>
      <c r="B50" s="273" t="s">
        <v>198</v>
      </c>
      <c r="C50" s="274" t="s">
        <v>92</v>
      </c>
      <c r="D50" s="274" t="s">
        <v>93</v>
      </c>
      <c r="E50" s="274" t="s">
        <v>53</v>
      </c>
      <c r="F50" s="275" t="s">
        <v>94</v>
      </c>
      <c r="G50" s="275" t="s">
        <v>95</v>
      </c>
      <c r="H50" s="276" t="s">
        <v>96</v>
      </c>
    </row>
    <row r="51" spans="1:8" ht="15.75" x14ac:dyDescent="0.25">
      <c r="A51" s="380"/>
      <c r="B51" s="266" t="s">
        <v>42</v>
      </c>
      <c r="C51" s="270"/>
      <c r="D51" s="270"/>
      <c r="E51" s="270">
        <f t="shared" ref="E51:E60" si="24">SUM(C51+D51)</f>
        <v>0</v>
      </c>
      <c r="F51" s="271">
        <f>1880/12</f>
        <v>156.66666666666666</v>
      </c>
      <c r="G51" s="271">
        <f>MAX(F51-E51, 0)</f>
        <v>156.66666666666666</v>
      </c>
      <c r="H51" s="272">
        <f t="shared" ref="H51" si="25">C51/F51</f>
        <v>0</v>
      </c>
    </row>
    <row r="52" spans="1:8" ht="15.75" x14ac:dyDescent="0.25">
      <c r="A52" s="380"/>
      <c r="B52" s="248" t="s">
        <v>43</v>
      </c>
      <c r="C52" s="253"/>
      <c r="D52" s="253"/>
      <c r="E52" s="253">
        <f t="shared" si="24"/>
        <v>0</v>
      </c>
      <c r="F52" s="254">
        <f t="shared" ref="F52:F60" si="26">1880/12</f>
        <v>156.66666666666666</v>
      </c>
      <c r="G52" s="254">
        <f t="shared" ref="G52:G60" si="27">MAX(F52-E52, 0)</f>
        <v>156.66666666666666</v>
      </c>
      <c r="H52" s="247">
        <f>C52/F52</f>
        <v>0</v>
      </c>
    </row>
    <row r="53" spans="1:8" ht="15.75" x14ac:dyDescent="0.25">
      <c r="A53" s="380"/>
      <c r="B53" s="248" t="s">
        <v>44</v>
      </c>
      <c r="C53" s="253"/>
      <c r="D53" s="253"/>
      <c r="E53" s="253">
        <f t="shared" si="24"/>
        <v>0</v>
      </c>
      <c r="F53" s="254">
        <f t="shared" si="26"/>
        <v>156.66666666666666</v>
      </c>
      <c r="G53" s="254">
        <f t="shared" si="27"/>
        <v>156.66666666666666</v>
      </c>
      <c r="H53" s="247">
        <f t="shared" ref="H53" si="28">C53/F53</f>
        <v>0</v>
      </c>
    </row>
    <row r="54" spans="1:8" ht="15.75" x14ac:dyDescent="0.25">
      <c r="A54" s="380"/>
      <c r="B54" s="248" t="s">
        <v>47</v>
      </c>
      <c r="C54" s="253"/>
      <c r="D54" s="255"/>
      <c r="E54" s="253">
        <f t="shared" si="24"/>
        <v>0</v>
      </c>
      <c r="F54" s="254">
        <f t="shared" si="26"/>
        <v>156.66666666666666</v>
      </c>
      <c r="G54" s="254">
        <f t="shared" si="27"/>
        <v>156.66666666666666</v>
      </c>
      <c r="H54" s="247">
        <f>C54/F54</f>
        <v>0</v>
      </c>
    </row>
    <row r="55" spans="1:8" ht="15.75" x14ac:dyDescent="0.25">
      <c r="A55" s="380"/>
      <c r="B55" s="248" t="s">
        <v>85</v>
      </c>
      <c r="C55" s="253"/>
      <c r="D55" s="253"/>
      <c r="E55" s="253">
        <f t="shared" si="24"/>
        <v>0</v>
      </c>
      <c r="F55" s="254">
        <f t="shared" si="26"/>
        <v>156.66666666666666</v>
      </c>
      <c r="G55" s="254">
        <f t="shared" si="27"/>
        <v>156.66666666666666</v>
      </c>
      <c r="H55" s="247">
        <f t="shared" ref="H55:H60" si="29">C55/F55</f>
        <v>0</v>
      </c>
    </row>
    <row r="56" spans="1:8" ht="15.75" x14ac:dyDescent="0.25">
      <c r="A56" s="380"/>
      <c r="B56" s="248" t="s">
        <v>87</v>
      </c>
      <c r="C56" s="253"/>
      <c r="D56" s="253"/>
      <c r="E56" s="253">
        <f t="shared" si="24"/>
        <v>0</v>
      </c>
      <c r="F56" s="254">
        <f t="shared" si="26"/>
        <v>156.66666666666666</v>
      </c>
      <c r="G56" s="254">
        <f t="shared" si="27"/>
        <v>156.66666666666666</v>
      </c>
      <c r="H56" s="247">
        <f t="shared" si="29"/>
        <v>0</v>
      </c>
    </row>
    <row r="57" spans="1:8" ht="15.75" x14ac:dyDescent="0.25">
      <c r="A57" s="380"/>
      <c r="B57" s="248" t="s">
        <v>197</v>
      </c>
      <c r="C57" s="253"/>
      <c r="D57" s="253"/>
      <c r="E57" s="253">
        <f t="shared" si="24"/>
        <v>0</v>
      </c>
      <c r="F57" s="254">
        <f t="shared" si="26"/>
        <v>156.66666666666666</v>
      </c>
      <c r="G57" s="254">
        <f t="shared" si="27"/>
        <v>156.66666666666666</v>
      </c>
      <c r="H57" s="247">
        <f t="shared" si="29"/>
        <v>0</v>
      </c>
    </row>
    <row r="58" spans="1:8" ht="15.75" x14ac:dyDescent="0.25">
      <c r="A58" s="380"/>
      <c r="B58" s="248" t="s">
        <v>49</v>
      </c>
      <c r="C58" s="253"/>
      <c r="D58" s="253"/>
      <c r="E58" s="253">
        <f t="shared" si="24"/>
        <v>0</v>
      </c>
      <c r="F58" s="254">
        <f t="shared" si="26"/>
        <v>156.66666666666666</v>
      </c>
      <c r="G58" s="254">
        <f t="shared" si="27"/>
        <v>156.66666666666666</v>
      </c>
      <c r="H58" s="247">
        <f t="shared" si="29"/>
        <v>0</v>
      </c>
    </row>
    <row r="59" spans="1:8" ht="15.75" x14ac:dyDescent="0.25">
      <c r="A59" s="380"/>
      <c r="B59" s="248" t="s">
        <v>48</v>
      </c>
      <c r="C59" s="253"/>
      <c r="D59" s="253"/>
      <c r="E59" s="253">
        <f t="shared" si="24"/>
        <v>0</v>
      </c>
      <c r="F59" s="254">
        <f t="shared" si="26"/>
        <v>156.66666666666666</v>
      </c>
      <c r="G59" s="254">
        <f t="shared" si="27"/>
        <v>156.66666666666666</v>
      </c>
      <c r="H59" s="247">
        <f t="shared" si="29"/>
        <v>0</v>
      </c>
    </row>
    <row r="60" spans="1:8" ht="16.5" thickBot="1" x14ac:dyDescent="0.3">
      <c r="A60" s="381"/>
      <c r="B60" s="249" t="s">
        <v>50</v>
      </c>
      <c r="C60" s="250"/>
      <c r="D60" s="250"/>
      <c r="E60" s="250">
        <f t="shared" si="24"/>
        <v>0</v>
      </c>
      <c r="F60" s="251">
        <f t="shared" si="26"/>
        <v>156.66666666666666</v>
      </c>
      <c r="G60" s="251">
        <f t="shared" si="27"/>
        <v>156.66666666666666</v>
      </c>
      <c r="H60" s="252">
        <f t="shared" si="29"/>
        <v>0</v>
      </c>
    </row>
    <row r="61" spans="1:8" ht="16.5" thickTop="1" thickBot="1" x14ac:dyDescent="0.3"/>
    <row r="62" spans="1:8" ht="16.5" thickTop="1" thickBot="1" x14ac:dyDescent="0.3">
      <c r="A62" s="379" t="s">
        <v>101</v>
      </c>
      <c r="B62" s="273" t="s">
        <v>198</v>
      </c>
      <c r="C62" s="274" t="s">
        <v>92</v>
      </c>
      <c r="D62" s="274" t="s">
        <v>93</v>
      </c>
      <c r="E62" s="274" t="s">
        <v>53</v>
      </c>
      <c r="F62" s="275" t="s">
        <v>94</v>
      </c>
      <c r="G62" s="275" t="s">
        <v>95</v>
      </c>
      <c r="H62" s="276" t="s">
        <v>96</v>
      </c>
    </row>
    <row r="63" spans="1:8" ht="15.75" x14ac:dyDescent="0.25">
      <c r="A63" s="380"/>
      <c r="B63" s="266" t="s">
        <v>42</v>
      </c>
      <c r="C63" s="270"/>
      <c r="D63" s="270"/>
      <c r="E63" s="270">
        <f t="shared" ref="E63:E72" si="30">SUM(C63+D63)</f>
        <v>0</v>
      </c>
      <c r="F63" s="271">
        <f>1880/12</f>
        <v>156.66666666666666</v>
      </c>
      <c r="G63" s="271">
        <f>MAX(F63-E63, 0)</f>
        <v>156.66666666666666</v>
      </c>
      <c r="H63" s="272">
        <f t="shared" ref="H63" si="31">C63/F63</f>
        <v>0</v>
      </c>
    </row>
    <row r="64" spans="1:8" ht="15.75" x14ac:dyDescent="0.25">
      <c r="A64" s="380"/>
      <c r="B64" s="248" t="s">
        <v>43</v>
      </c>
      <c r="C64" s="253"/>
      <c r="D64" s="253"/>
      <c r="E64" s="253">
        <f t="shared" si="30"/>
        <v>0</v>
      </c>
      <c r="F64" s="254">
        <f t="shared" ref="F64:F72" si="32">1880/12</f>
        <v>156.66666666666666</v>
      </c>
      <c r="G64" s="254">
        <f t="shared" ref="G64:G72" si="33">MAX(F64-E64, 0)</f>
        <v>156.66666666666666</v>
      </c>
      <c r="H64" s="247">
        <f>C64/F64</f>
        <v>0</v>
      </c>
    </row>
    <row r="65" spans="1:8" ht="15.75" x14ac:dyDescent="0.25">
      <c r="A65" s="380"/>
      <c r="B65" s="248" t="s">
        <v>44</v>
      </c>
      <c r="C65" s="253"/>
      <c r="D65" s="253"/>
      <c r="E65" s="253">
        <f t="shared" si="30"/>
        <v>0</v>
      </c>
      <c r="F65" s="254">
        <f t="shared" si="32"/>
        <v>156.66666666666666</v>
      </c>
      <c r="G65" s="254">
        <f t="shared" si="33"/>
        <v>156.66666666666666</v>
      </c>
      <c r="H65" s="247">
        <f t="shared" ref="H65" si="34">C65/F65</f>
        <v>0</v>
      </c>
    </row>
    <row r="66" spans="1:8" ht="15.75" x14ac:dyDescent="0.25">
      <c r="A66" s="380"/>
      <c r="B66" s="248" t="s">
        <v>47</v>
      </c>
      <c r="C66" s="253"/>
      <c r="D66" s="255"/>
      <c r="E66" s="253">
        <f t="shared" si="30"/>
        <v>0</v>
      </c>
      <c r="F66" s="254">
        <f t="shared" si="32"/>
        <v>156.66666666666666</v>
      </c>
      <c r="G66" s="254">
        <f t="shared" si="33"/>
        <v>156.66666666666666</v>
      </c>
      <c r="H66" s="247">
        <f>C66/F66</f>
        <v>0</v>
      </c>
    </row>
    <row r="67" spans="1:8" ht="15.75" x14ac:dyDescent="0.25">
      <c r="A67" s="380"/>
      <c r="B67" s="248" t="s">
        <v>85</v>
      </c>
      <c r="C67" s="253"/>
      <c r="D67" s="253"/>
      <c r="E67" s="253">
        <f t="shared" si="30"/>
        <v>0</v>
      </c>
      <c r="F67" s="254">
        <f t="shared" si="32"/>
        <v>156.66666666666666</v>
      </c>
      <c r="G67" s="254">
        <f t="shared" si="33"/>
        <v>156.66666666666666</v>
      </c>
      <c r="H67" s="247">
        <f t="shared" ref="H67:H72" si="35">C67/F67</f>
        <v>0</v>
      </c>
    </row>
    <row r="68" spans="1:8" ht="15.75" x14ac:dyDescent="0.25">
      <c r="A68" s="380"/>
      <c r="B68" s="248" t="s">
        <v>87</v>
      </c>
      <c r="C68" s="253"/>
      <c r="D68" s="253"/>
      <c r="E68" s="253">
        <f t="shared" si="30"/>
        <v>0</v>
      </c>
      <c r="F68" s="254">
        <f t="shared" si="32"/>
        <v>156.66666666666666</v>
      </c>
      <c r="G68" s="254">
        <f t="shared" si="33"/>
        <v>156.66666666666666</v>
      </c>
      <c r="H68" s="247">
        <f t="shared" si="35"/>
        <v>0</v>
      </c>
    </row>
    <row r="69" spans="1:8" ht="15.75" x14ac:dyDescent="0.25">
      <c r="A69" s="380"/>
      <c r="B69" s="248" t="s">
        <v>197</v>
      </c>
      <c r="C69" s="253"/>
      <c r="D69" s="253"/>
      <c r="E69" s="253">
        <f t="shared" si="30"/>
        <v>0</v>
      </c>
      <c r="F69" s="254">
        <f t="shared" si="32"/>
        <v>156.66666666666666</v>
      </c>
      <c r="G69" s="254">
        <f t="shared" si="33"/>
        <v>156.66666666666666</v>
      </c>
      <c r="H69" s="247">
        <f t="shared" si="35"/>
        <v>0</v>
      </c>
    </row>
    <row r="70" spans="1:8" ht="15.75" x14ac:dyDescent="0.25">
      <c r="A70" s="380"/>
      <c r="B70" s="248" t="s">
        <v>49</v>
      </c>
      <c r="C70" s="253"/>
      <c r="D70" s="253"/>
      <c r="E70" s="253">
        <f t="shared" si="30"/>
        <v>0</v>
      </c>
      <c r="F70" s="254">
        <f t="shared" si="32"/>
        <v>156.66666666666666</v>
      </c>
      <c r="G70" s="254">
        <f t="shared" si="33"/>
        <v>156.66666666666666</v>
      </c>
      <c r="H70" s="247">
        <f t="shared" si="35"/>
        <v>0</v>
      </c>
    </row>
    <row r="71" spans="1:8" ht="15.75" x14ac:dyDescent="0.25">
      <c r="A71" s="380"/>
      <c r="B71" s="248" t="s">
        <v>48</v>
      </c>
      <c r="C71" s="253"/>
      <c r="D71" s="253"/>
      <c r="E71" s="253">
        <f t="shared" si="30"/>
        <v>0</v>
      </c>
      <c r="F71" s="254">
        <f t="shared" si="32"/>
        <v>156.66666666666666</v>
      </c>
      <c r="G71" s="254">
        <f t="shared" si="33"/>
        <v>156.66666666666666</v>
      </c>
      <c r="H71" s="247">
        <f t="shared" si="35"/>
        <v>0</v>
      </c>
    </row>
    <row r="72" spans="1:8" ht="16.5" thickBot="1" x14ac:dyDescent="0.3">
      <c r="A72" s="381"/>
      <c r="B72" s="249" t="s">
        <v>50</v>
      </c>
      <c r="C72" s="250"/>
      <c r="D72" s="250"/>
      <c r="E72" s="250">
        <f t="shared" si="30"/>
        <v>0</v>
      </c>
      <c r="F72" s="251">
        <f t="shared" si="32"/>
        <v>156.66666666666666</v>
      </c>
      <c r="G72" s="251">
        <f t="shared" si="33"/>
        <v>156.66666666666666</v>
      </c>
      <c r="H72" s="252">
        <f t="shared" si="35"/>
        <v>0</v>
      </c>
    </row>
    <row r="73" spans="1:8" ht="16.5" thickTop="1" thickBot="1" x14ac:dyDescent="0.3"/>
    <row r="74" spans="1:8" ht="16.5" thickTop="1" thickBot="1" x14ac:dyDescent="0.3">
      <c r="A74" s="379" t="s">
        <v>102</v>
      </c>
      <c r="B74" s="273" t="s">
        <v>198</v>
      </c>
      <c r="C74" s="274" t="s">
        <v>92</v>
      </c>
      <c r="D74" s="274" t="s">
        <v>93</v>
      </c>
      <c r="E74" s="274" t="s">
        <v>53</v>
      </c>
      <c r="F74" s="275" t="s">
        <v>94</v>
      </c>
      <c r="G74" s="275" t="s">
        <v>95</v>
      </c>
      <c r="H74" s="276" t="s">
        <v>96</v>
      </c>
    </row>
    <row r="75" spans="1:8" ht="15.75" x14ac:dyDescent="0.25">
      <c r="A75" s="380"/>
      <c r="B75" s="266" t="s">
        <v>42</v>
      </c>
      <c r="C75" s="270"/>
      <c r="D75" s="270"/>
      <c r="E75" s="270">
        <f t="shared" ref="E75:E84" si="36">SUM(C75+D75)</f>
        <v>0</v>
      </c>
      <c r="F75" s="271">
        <f>1880/12</f>
        <v>156.66666666666666</v>
      </c>
      <c r="G75" s="271">
        <f>MAX(F75-E75, 0)</f>
        <v>156.66666666666666</v>
      </c>
      <c r="H75" s="272">
        <f t="shared" ref="H75" si="37">C75/F75</f>
        <v>0</v>
      </c>
    </row>
    <row r="76" spans="1:8" ht="15.75" x14ac:dyDescent="0.25">
      <c r="A76" s="380"/>
      <c r="B76" s="248" t="s">
        <v>43</v>
      </c>
      <c r="C76" s="253"/>
      <c r="D76" s="253"/>
      <c r="E76" s="253">
        <f t="shared" si="36"/>
        <v>0</v>
      </c>
      <c r="F76" s="254">
        <f t="shared" ref="F76:F84" si="38">1880/12</f>
        <v>156.66666666666666</v>
      </c>
      <c r="G76" s="254">
        <f t="shared" ref="G76:G84" si="39">MAX(F76-E76, 0)</f>
        <v>156.66666666666666</v>
      </c>
      <c r="H76" s="247">
        <f>C76/F76</f>
        <v>0</v>
      </c>
    </row>
    <row r="77" spans="1:8" ht="15.75" x14ac:dyDescent="0.25">
      <c r="A77" s="380"/>
      <c r="B77" s="248" t="s">
        <v>44</v>
      </c>
      <c r="C77" s="253"/>
      <c r="D77" s="253"/>
      <c r="E77" s="253">
        <f t="shared" si="36"/>
        <v>0</v>
      </c>
      <c r="F77" s="254">
        <f t="shared" si="38"/>
        <v>156.66666666666666</v>
      </c>
      <c r="G77" s="254">
        <f t="shared" si="39"/>
        <v>156.66666666666666</v>
      </c>
      <c r="H77" s="247">
        <f t="shared" ref="H77" si="40">C77/F77</f>
        <v>0</v>
      </c>
    </row>
    <row r="78" spans="1:8" ht="15.75" x14ac:dyDescent="0.25">
      <c r="A78" s="380"/>
      <c r="B78" s="248" t="s">
        <v>47</v>
      </c>
      <c r="C78" s="253"/>
      <c r="D78" s="255"/>
      <c r="E78" s="253">
        <f t="shared" si="36"/>
        <v>0</v>
      </c>
      <c r="F78" s="254">
        <f t="shared" si="38"/>
        <v>156.66666666666666</v>
      </c>
      <c r="G78" s="254">
        <f t="shared" si="39"/>
        <v>156.66666666666666</v>
      </c>
      <c r="H78" s="247">
        <f>C78/F78</f>
        <v>0</v>
      </c>
    </row>
    <row r="79" spans="1:8" ht="15.75" x14ac:dyDescent="0.25">
      <c r="A79" s="380"/>
      <c r="B79" s="248" t="s">
        <v>85</v>
      </c>
      <c r="C79" s="253"/>
      <c r="D79" s="253"/>
      <c r="E79" s="253">
        <f t="shared" si="36"/>
        <v>0</v>
      </c>
      <c r="F79" s="254">
        <f t="shared" si="38"/>
        <v>156.66666666666666</v>
      </c>
      <c r="G79" s="254">
        <f t="shared" si="39"/>
        <v>156.66666666666666</v>
      </c>
      <c r="H79" s="247">
        <f t="shared" ref="H79:H84" si="41">C79/F79</f>
        <v>0</v>
      </c>
    </row>
    <row r="80" spans="1:8" ht="15.75" x14ac:dyDescent="0.25">
      <c r="A80" s="380"/>
      <c r="B80" s="248" t="s">
        <v>87</v>
      </c>
      <c r="C80" s="253"/>
      <c r="D80" s="253"/>
      <c r="E80" s="253">
        <f t="shared" si="36"/>
        <v>0</v>
      </c>
      <c r="F80" s="254">
        <f t="shared" si="38"/>
        <v>156.66666666666666</v>
      </c>
      <c r="G80" s="254">
        <f t="shared" si="39"/>
        <v>156.66666666666666</v>
      </c>
      <c r="H80" s="247">
        <f t="shared" si="41"/>
        <v>0</v>
      </c>
    </row>
    <row r="81" spans="1:8" ht="15.75" x14ac:dyDescent="0.25">
      <c r="A81" s="380"/>
      <c r="B81" s="248" t="s">
        <v>197</v>
      </c>
      <c r="C81" s="253"/>
      <c r="D81" s="253"/>
      <c r="E81" s="253">
        <f t="shared" si="36"/>
        <v>0</v>
      </c>
      <c r="F81" s="254">
        <f t="shared" si="38"/>
        <v>156.66666666666666</v>
      </c>
      <c r="G81" s="254">
        <f t="shared" si="39"/>
        <v>156.66666666666666</v>
      </c>
      <c r="H81" s="247">
        <f t="shared" si="41"/>
        <v>0</v>
      </c>
    </row>
    <row r="82" spans="1:8" ht="15.75" x14ac:dyDescent="0.25">
      <c r="A82" s="380"/>
      <c r="B82" s="248" t="s">
        <v>49</v>
      </c>
      <c r="C82" s="253"/>
      <c r="D82" s="253"/>
      <c r="E82" s="253">
        <f t="shared" si="36"/>
        <v>0</v>
      </c>
      <c r="F82" s="254">
        <f t="shared" si="38"/>
        <v>156.66666666666666</v>
      </c>
      <c r="G82" s="254">
        <f t="shared" si="39"/>
        <v>156.66666666666666</v>
      </c>
      <c r="H82" s="247">
        <f t="shared" si="41"/>
        <v>0</v>
      </c>
    </row>
    <row r="83" spans="1:8" ht="15.75" x14ac:dyDescent="0.25">
      <c r="A83" s="380"/>
      <c r="B83" s="248" t="s">
        <v>48</v>
      </c>
      <c r="C83" s="253"/>
      <c r="D83" s="253"/>
      <c r="E83" s="253">
        <f t="shared" si="36"/>
        <v>0</v>
      </c>
      <c r="F83" s="254">
        <f t="shared" si="38"/>
        <v>156.66666666666666</v>
      </c>
      <c r="G83" s="254">
        <f t="shared" si="39"/>
        <v>156.66666666666666</v>
      </c>
      <c r="H83" s="247">
        <f t="shared" si="41"/>
        <v>0</v>
      </c>
    </row>
    <row r="84" spans="1:8" ht="16.5" thickBot="1" x14ac:dyDescent="0.3">
      <c r="A84" s="381"/>
      <c r="B84" s="249" t="s">
        <v>50</v>
      </c>
      <c r="C84" s="250"/>
      <c r="D84" s="250"/>
      <c r="E84" s="250">
        <f t="shared" si="36"/>
        <v>0</v>
      </c>
      <c r="F84" s="251">
        <f t="shared" si="38"/>
        <v>156.66666666666666</v>
      </c>
      <c r="G84" s="251">
        <f t="shared" si="39"/>
        <v>156.66666666666666</v>
      </c>
      <c r="H84" s="252">
        <f t="shared" si="41"/>
        <v>0</v>
      </c>
    </row>
    <row r="85" spans="1:8" ht="16.5" thickTop="1" thickBot="1" x14ac:dyDescent="0.3">
      <c r="A85" s="256"/>
    </row>
    <row r="86" spans="1:8" ht="16.5" thickTop="1" thickBot="1" x14ac:dyDescent="0.3">
      <c r="A86" s="379" t="s">
        <v>103</v>
      </c>
      <c r="B86" s="273" t="s">
        <v>198</v>
      </c>
      <c r="C86" s="274" t="s">
        <v>92</v>
      </c>
      <c r="D86" s="274" t="s">
        <v>93</v>
      </c>
      <c r="E86" s="274" t="s">
        <v>53</v>
      </c>
      <c r="F86" s="275" t="s">
        <v>94</v>
      </c>
      <c r="G86" s="275" t="s">
        <v>95</v>
      </c>
      <c r="H86" s="276" t="s">
        <v>96</v>
      </c>
    </row>
    <row r="87" spans="1:8" ht="15.75" x14ac:dyDescent="0.25">
      <c r="A87" s="380"/>
      <c r="B87" s="266" t="s">
        <v>42</v>
      </c>
      <c r="C87" s="270"/>
      <c r="D87" s="270"/>
      <c r="E87" s="270">
        <f t="shared" ref="E87:E96" si="42">SUM(C87+D87)</f>
        <v>0</v>
      </c>
      <c r="F87" s="271">
        <f>1880/12</f>
        <v>156.66666666666666</v>
      </c>
      <c r="G87" s="271">
        <f>MAX(F87-E87, 0)</f>
        <v>156.66666666666666</v>
      </c>
      <c r="H87" s="272">
        <f t="shared" ref="H87" si="43">C87/F87</f>
        <v>0</v>
      </c>
    </row>
    <row r="88" spans="1:8" ht="15.75" x14ac:dyDescent="0.25">
      <c r="A88" s="380"/>
      <c r="B88" s="248" t="s">
        <v>43</v>
      </c>
      <c r="C88" s="253"/>
      <c r="D88" s="253"/>
      <c r="E88" s="253">
        <f t="shared" si="42"/>
        <v>0</v>
      </c>
      <c r="F88" s="254">
        <f t="shared" ref="F88:F96" si="44">1880/12</f>
        <v>156.66666666666666</v>
      </c>
      <c r="G88" s="254">
        <f t="shared" ref="G88:G96" si="45">MAX(F88-E88, 0)</f>
        <v>156.66666666666666</v>
      </c>
      <c r="H88" s="247">
        <f>C88/F88</f>
        <v>0</v>
      </c>
    </row>
    <row r="89" spans="1:8" ht="15.75" x14ac:dyDescent="0.25">
      <c r="A89" s="380"/>
      <c r="B89" s="248" t="s">
        <v>44</v>
      </c>
      <c r="C89" s="253"/>
      <c r="D89" s="253"/>
      <c r="E89" s="253">
        <f t="shared" si="42"/>
        <v>0</v>
      </c>
      <c r="F89" s="254">
        <f t="shared" si="44"/>
        <v>156.66666666666666</v>
      </c>
      <c r="G89" s="254">
        <f t="shared" si="45"/>
        <v>156.66666666666666</v>
      </c>
      <c r="H89" s="247">
        <f t="shared" ref="H89" si="46">C89/F89</f>
        <v>0</v>
      </c>
    </row>
    <row r="90" spans="1:8" ht="15.75" x14ac:dyDescent="0.25">
      <c r="A90" s="380"/>
      <c r="B90" s="248" t="s">
        <v>47</v>
      </c>
      <c r="C90" s="253"/>
      <c r="D90" s="255"/>
      <c r="E90" s="253">
        <f t="shared" si="42"/>
        <v>0</v>
      </c>
      <c r="F90" s="254">
        <f t="shared" si="44"/>
        <v>156.66666666666666</v>
      </c>
      <c r="G90" s="254">
        <f t="shared" si="45"/>
        <v>156.66666666666666</v>
      </c>
      <c r="H90" s="247">
        <f>C90/F90</f>
        <v>0</v>
      </c>
    </row>
    <row r="91" spans="1:8" ht="15.75" x14ac:dyDescent="0.25">
      <c r="A91" s="380"/>
      <c r="B91" s="248" t="s">
        <v>85</v>
      </c>
      <c r="C91" s="253"/>
      <c r="D91" s="253"/>
      <c r="E91" s="253">
        <f t="shared" si="42"/>
        <v>0</v>
      </c>
      <c r="F91" s="254">
        <f t="shared" si="44"/>
        <v>156.66666666666666</v>
      </c>
      <c r="G91" s="254">
        <f t="shared" si="45"/>
        <v>156.66666666666666</v>
      </c>
      <c r="H91" s="247">
        <f t="shared" ref="H91:H96" si="47">C91/F91</f>
        <v>0</v>
      </c>
    </row>
    <row r="92" spans="1:8" ht="15.75" x14ac:dyDescent="0.25">
      <c r="A92" s="380"/>
      <c r="B92" s="248" t="s">
        <v>87</v>
      </c>
      <c r="C92" s="253"/>
      <c r="D92" s="253"/>
      <c r="E92" s="253">
        <f t="shared" si="42"/>
        <v>0</v>
      </c>
      <c r="F92" s="254">
        <f t="shared" si="44"/>
        <v>156.66666666666666</v>
      </c>
      <c r="G92" s="254">
        <f t="shared" si="45"/>
        <v>156.66666666666666</v>
      </c>
      <c r="H92" s="247">
        <f t="shared" si="47"/>
        <v>0</v>
      </c>
    </row>
    <row r="93" spans="1:8" ht="15.75" x14ac:dyDescent="0.25">
      <c r="A93" s="380"/>
      <c r="B93" s="248" t="s">
        <v>197</v>
      </c>
      <c r="C93" s="253"/>
      <c r="D93" s="253"/>
      <c r="E93" s="253">
        <f t="shared" si="42"/>
        <v>0</v>
      </c>
      <c r="F93" s="254">
        <f t="shared" si="44"/>
        <v>156.66666666666666</v>
      </c>
      <c r="G93" s="254">
        <f t="shared" si="45"/>
        <v>156.66666666666666</v>
      </c>
      <c r="H93" s="247">
        <f t="shared" si="47"/>
        <v>0</v>
      </c>
    </row>
    <row r="94" spans="1:8" ht="15.75" x14ac:dyDescent="0.25">
      <c r="A94" s="380"/>
      <c r="B94" s="248" t="s">
        <v>49</v>
      </c>
      <c r="C94" s="253"/>
      <c r="D94" s="253"/>
      <c r="E94" s="253">
        <f t="shared" si="42"/>
        <v>0</v>
      </c>
      <c r="F94" s="254">
        <f t="shared" si="44"/>
        <v>156.66666666666666</v>
      </c>
      <c r="G94" s="254">
        <f t="shared" si="45"/>
        <v>156.66666666666666</v>
      </c>
      <c r="H94" s="247">
        <f t="shared" si="47"/>
        <v>0</v>
      </c>
    </row>
    <row r="95" spans="1:8" ht="15.75" x14ac:dyDescent="0.25">
      <c r="A95" s="380"/>
      <c r="B95" s="248" t="s">
        <v>48</v>
      </c>
      <c r="C95" s="253"/>
      <c r="D95" s="253"/>
      <c r="E95" s="253">
        <f t="shared" si="42"/>
        <v>0</v>
      </c>
      <c r="F95" s="254">
        <f t="shared" si="44"/>
        <v>156.66666666666666</v>
      </c>
      <c r="G95" s="254">
        <f t="shared" si="45"/>
        <v>156.66666666666666</v>
      </c>
      <c r="H95" s="247">
        <f t="shared" si="47"/>
        <v>0</v>
      </c>
    </row>
    <row r="96" spans="1:8" ht="16.5" thickBot="1" x14ac:dyDescent="0.3">
      <c r="A96" s="381"/>
      <c r="B96" s="249" t="s">
        <v>50</v>
      </c>
      <c r="C96" s="250"/>
      <c r="D96" s="250"/>
      <c r="E96" s="250">
        <f t="shared" si="42"/>
        <v>0</v>
      </c>
      <c r="F96" s="251">
        <f t="shared" si="44"/>
        <v>156.66666666666666</v>
      </c>
      <c r="G96" s="251">
        <f t="shared" si="45"/>
        <v>156.66666666666666</v>
      </c>
      <c r="H96" s="252">
        <f t="shared" si="47"/>
        <v>0</v>
      </c>
    </row>
    <row r="97" spans="1:8" ht="16.5" thickTop="1" thickBot="1" x14ac:dyDescent="0.3"/>
    <row r="98" spans="1:8" ht="16.5" thickTop="1" thickBot="1" x14ac:dyDescent="0.3">
      <c r="A98" s="379" t="s">
        <v>104</v>
      </c>
      <c r="B98" s="273" t="s">
        <v>198</v>
      </c>
      <c r="C98" s="274" t="s">
        <v>92</v>
      </c>
      <c r="D98" s="274" t="s">
        <v>93</v>
      </c>
      <c r="E98" s="274" t="s">
        <v>53</v>
      </c>
      <c r="F98" s="275" t="s">
        <v>94</v>
      </c>
      <c r="G98" s="275" t="s">
        <v>95</v>
      </c>
      <c r="H98" s="276" t="s">
        <v>96</v>
      </c>
    </row>
    <row r="99" spans="1:8" ht="15.75" x14ac:dyDescent="0.25">
      <c r="A99" s="380"/>
      <c r="B99" s="266" t="s">
        <v>42</v>
      </c>
      <c r="C99" s="270"/>
      <c r="D99" s="270"/>
      <c r="E99" s="270">
        <f t="shared" ref="E99:E108" si="48">SUM(C99+D99)</f>
        <v>0</v>
      </c>
      <c r="F99" s="271">
        <f>1880/12</f>
        <v>156.66666666666666</v>
      </c>
      <c r="G99" s="271">
        <f>MAX(F99-E99, 0)</f>
        <v>156.66666666666666</v>
      </c>
      <c r="H99" s="272">
        <f t="shared" ref="H99" si="49">C99/F99</f>
        <v>0</v>
      </c>
    </row>
    <row r="100" spans="1:8" ht="15.75" x14ac:dyDescent="0.25">
      <c r="A100" s="380"/>
      <c r="B100" s="248" t="s">
        <v>43</v>
      </c>
      <c r="C100" s="253"/>
      <c r="D100" s="253"/>
      <c r="E100" s="253">
        <f t="shared" si="48"/>
        <v>0</v>
      </c>
      <c r="F100" s="254">
        <f t="shared" ref="F100:F108" si="50">1880/12</f>
        <v>156.66666666666666</v>
      </c>
      <c r="G100" s="254">
        <f t="shared" ref="G100:G108" si="51">MAX(F100-E100, 0)</f>
        <v>156.66666666666666</v>
      </c>
      <c r="H100" s="247">
        <f>C100/F100</f>
        <v>0</v>
      </c>
    </row>
    <row r="101" spans="1:8" ht="15.75" x14ac:dyDescent="0.25">
      <c r="A101" s="380"/>
      <c r="B101" s="248" t="s">
        <v>44</v>
      </c>
      <c r="C101" s="253"/>
      <c r="D101" s="253"/>
      <c r="E101" s="253">
        <f t="shared" si="48"/>
        <v>0</v>
      </c>
      <c r="F101" s="254">
        <f t="shared" si="50"/>
        <v>156.66666666666666</v>
      </c>
      <c r="G101" s="254">
        <f t="shared" si="51"/>
        <v>156.66666666666666</v>
      </c>
      <c r="H101" s="247">
        <f t="shared" ref="H101" si="52">C101/F101</f>
        <v>0</v>
      </c>
    </row>
    <row r="102" spans="1:8" ht="15.75" x14ac:dyDescent="0.25">
      <c r="A102" s="380"/>
      <c r="B102" s="248" t="s">
        <v>47</v>
      </c>
      <c r="C102" s="253"/>
      <c r="D102" s="255"/>
      <c r="E102" s="253">
        <f t="shared" si="48"/>
        <v>0</v>
      </c>
      <c r="F102" s="254">
        <f t="shared" si="50"/>
        <v>156.66666666666666</v>
      </c>
      <c r="G102" s="254">
        <f t="shared" si="51"/>
        <v>156.66666666666666</v>
      </c>
      <c r="H102" s="247">
        <f>C102/F102</f>
        <v>0</v>
      </c>
    </row>
    <row r="103" spans="1:8" ht="15.75" x14ac:dyDescent="0.25">
      <c r="A103" s="380"/>
      <c r="B103" s="248" t="s">
        <v>85</v>
      </c>
      <c r="C103" s="253"/>
      <c r="D103" s="253"/>
      <c r="E103" s="253">
        <f t="shared" si="48"/>
        <v>0</v>
      </c>
      <c r="F103" s="254">
        <f t="shared" si="50"/>
        <v>156.66666666666666</v>
      </c>
      <c r="G103" s="254">
        <f t="shared" si="51"/>
        <v>156.66666666666666</v>
      </c>
      <c r="H103" s="247">
        <f t="shared" ref="H103:H108" si="53">C103/F103</f>
        <v>0</v>
      </c>
    </row>
    <row r="104" spans="1:8" ht="15.75" x14ac:dyDescent="0.25">
      <c r="A104" s="380"/>
      <c r="B104" s="248" t="s">
        <v>87</v>
      </c>
      <c r="C104" s="253"/>
      <c r="D104" s="253"/>
      <c r="E104" s="253">
        <f t="shared" si="48"/>
        <v>0</v>
      </c>
      <c r="F104" s="254">
        <f t="shared" si="50"/>
        <v>156.66666666666666</v>
      </c>
      <c r="G104" s="254">
        <f t="shared" si="51"/>
        <v>156.66666666666666</v>
      </c>
      <c r="H104" s="247">
        <f t="shared" si="53"/>
        <v>0</v>
      </c>
    </row>
    <row r="105" spans="1:8" ht="15.75" x14ac:dyDescent="0.25">
      <c r="A105" s="380"/>
      <c r="B105" s="248" t="s">
        <v>197</v>
      </c>
      <c r="C105" s="253"/>
      <c r="D105" s="253"/>
      <c r="E105" s="253">
        <f t="shared" si="48"/>
        <v>0</v>
      </c>
      <c r="F105" s="254">
        <f t="shared" si="50"/>
        <v>156.66666666666666</v>
      </c>
      <c r="G105" s="254">
        <f t="shared" si="51"/>
        <v>156.66666666666666</v>
      </c>
      <c r="H105" s="247">
        <f t="shared" si="53"/>
        <v>0</v>
      </c>
    </row>
    <row r="106" spans="1:8" ht="15.75" x14ac:dyDescent="0.25">
      <c r="A106" s="380"/>
      <c r="B106" s="248" t="s">
        <v>49</v>
      </c>
      <c r="C106" s="253"/>
      <c r="D106" s="253"/>
      <c r="E106" s="253">
        <f t="shared" si="48"/>
        <v>0</v>
      </c>
      <c r="F106" s="254">
        <f t="shared" si="50"/>
        <v>156.66666666666666</v>
      </c>
      <c r="G106" s="254">
        <f t="shared" si="51"/>
        <v>156.66666666666666</v>
      </c>
      <c r="H106" s="247">
        <f t="shared" si="53"/>
        <v>0</v>
      </c>
    </row>
    <row r="107" spans="1:8" ht="15.75" x14ac:dyDescent="0.25">
      <c r="A107" s="380"/>
      <c r="B107" s="248" t="s">
        <v>48</v>
      </c>
      <c r="C107" s="253"/>
      <c r="D107" s="253"/>
      <c r="E107" s="253">
        <f t="shared" si="48"/>
        <v>0</v>
      </c>
      <c r="F107" s="254">
        <f t="shared" si="50"/>
        <v>156.66666666666666</v>
      </c>
      <c r="G107" s="254">
        <f t="shared" si="51"/>
        <v>156.66666666666666</v>
      </c>
      <c r="H107" s="247">
        <f t="shared" si="53"/>
        <v>0</v>
      </c>
    </row>
    <row r="108" spans="1:8" ht="16.5" thickBot="1" x14ac:dyDescent="0.3">
      <c r="A108" s="381"/>
      <c r="B108" s="249" t="s">
        <v>50</v>
      </c>
      <c r="C108" s="250"/>
      <c r="D108" s="250"/>
      <c r="E108" s="250">
        <f t="shared" si="48"/>
        <v>0</v>
      </c>
      <c r="F108" s="251">
        <f t="shared" si="50"/>
        <v>156.66666666666666</v>
      </c>
      <c r="G108" s="251">
        <f t="shared" si="51"/>
        <v>156.66666666666666</v>
      </c>
      <c r="H108" s="252">
        <f t="shared" si="53"/>
        <v>0</v>
      </c>
    </row>
    <row r="109" spans="1:8" ht="16.5" thickTop="1" thickBot="1" x14ac:dyDescent="0.3"/>
    <row r="110" spans="1:8" ht="16.5" thickTop="1" thickBot="1" x14ac:dyDescent="0.3">
      <c r="A110" s="379" t="s">
        <v>105</v>
      </c>
      <c r="B110" s="273" t="s">
        <v>198</v>
      </c>
      <c r="C110" s="274" t="s">
        <v>92</v>
      </c>
      <c r="D110" s="274" t="s">
        <v>93</v>
      </c>
      <c r="E110" s="274" t="s">
        <v>53</v>
      </c>
      <c r="F110" s="275" t="s">
        <v>94</v>
      </c>
      <c r="G110" s="275" t="s">
        <v>95</v>
      </c>
      <c r="H110" s="276" t="s">
        <v>96</v>
      </c>
    </row>
    <row r="111" spans="1:8" ht="15.75" x14ac:dyDescent="0.25">
      <c r="A111" s="380"/>
      <c r="B111" s="266" t="s">
        <v>42</v>
      </c>
      <c r="C111" s="270"/>
      <c r="D111" s="270"/>
      <c r="E111" s="270">
        <f t="shared" ref="E111:E120" si="54">SUM(C111+D111)</f>
        <v>0</v>
      </c>
      <c r="F111" s="271">
        <f>1880/12</f>
        <v>156.66666666666666</v>
      </c>
      <c r="G111" s="271">
        <f>MAX(F111-E111, 0)</f>
        <v>156.66666666666666</v>
      </c>
      <c r="H111" s="272">
        <f t="shared" ref="H111" si="55">C111/F111</f>
        <v>0</v>
      </c>
    </row>
    <row r="112" spans="1:8" ht="15.75" x14ac:dyDescent="0.25">
      <c r="A112" s="380"/>
      <c r="B112" s="248" t="s">
        <v>43</v>
      </c>
      <c r="C112" s="253"/>
      <c r="D112" s="253"/>
      <c r="E112" s="253">
        <f t="shared" si="54"/>
        <v>0</v>
      </c>
      <c r="F112" s="254">
        <f t="shared" ref="F112:F120" si="56">1880/12</f>
        <v>156.66666666666666</v>
      </c>
      <c r="G112" s="254">
        <f t="shared" ref="G112:G120" si="57">MAX(F112-E112, 0)</f>
        <v>156.66666666666666</v>
      </c>
      <c r="H112" s="247">
        <f>C112/F112</f>
        <v>0</v>
      </c>
    </row>
    <row r="113" spans="1:8" ht="15.75" x14ac:dyDescent="0.25">
      <c r="A113" s="380"/>
      <c r="B113" s="248" t="s">
        <v>44</v>
      </c>
      <c r="C113" s="253"/>
      <c r="D113" s="253"/>
      <c r="E113" s="253">
        <f t="shared" si="54"/>
        <v>0</v>
      </c>
      <c r="F113" s="254">
        <f t="shared" si="56"/>
        <v>156.66666666666666</v>
      </c>
      <c r="G113" s="254">
        <f t="shared" si="57"/>
        <v>156.66666666666666</v>
      </c>
      <c r="H113" s="247">
        <f t="shared" ref="H113" si="58">C113/F113</f>
        <v>0</v>
      </c>
    </row>
    <row r="114" spans="1:8" ht="15.75" x14ac:dyDescent="0.25">
      <c r="A114" s="380"/>
      <c r="B114" s="248" t="s">
        <v>47</v>
      </c>
      <c r="C114" s="253"/>
      <c r="D114" s="255"/>
      <c r="E114" s="253">
        <f t="shared" si="54"/>
        <v>0</v>
      </c>
      <c r="F114" s="254">
        <f t="shared" si="56"/>
        <v>156.66666666666666</v>
      </c>
      <c r="G114" s="254">
        <f t="shared" si="57"/>
        <v>156.66666666666666</v>
      </c>
      <c r="H114" s="247">
        <f>C114/F114</f>
        <v>0</v>
      </c>
    </row>
    <row r="115" spans="1:8" ht="15.75" x14ac:dyDescent="0.25">
      <c r="A115" s="380"/>
      <c r="B115" s="248" t="s">
        <v>85</v>
      </c>
      <c r="C115" s="253"/>
      <c r="D115" s="253"/>
      <c r="E115" s="253">
        <f t="shared" si="54"/>
        <v>0</v>
      </c>
      <c r="F115" s="254">
        <f t="shared" si="56"/>
        <v>156.66666666666666</v>
      </c>
      <c r="G115" s="254">
        <f t="shared" si="57"/>
        <v>156.66666666666666</v>
      </c>
      <c r="H115" s="247">
        <f t="shared" ref="H115:H120" si="59">C115/F115</f>
        <v>0</v>
      </c>
    </row>
    <row r="116" spans="1:8" ht="15.75" x14ac:dyDescent="0.25">
      <c r="A116" s="380"/>
      <c r="B116" s="248" t="s">
        <v>87</v>
      </c>
      <c r="C116" s="253"/>
      <c r="D116" s="253"/>
      <c r="E116" s="253">
        <f t="shared" si="54"/>
        <v>0</v>
      </c>
      <c r="F116" s="254">
        <f t="shared" si="56"/>
        <v>156.66666666666666</v>
      </c>
      <c r="G116" s="254">
        <f t="shared" si="57"/>
        <v>156.66666666666666</v>
      </c>
      <c r="H116" s="247">
        <f t="shared" si="59"/>
        <v>0</v>
      </c>
    </row>
    <row r="117" spans="1:8" ht="15.75" x14ac:dyDescent="0.25">
      <c r="A117" s="380"/>
      <c r="B117" s="248" t="s">
        <v>197</v>
      </c>
      <c r="C117" s="253"/>
      <c r="D117" s="253"/>
      <c r="E117" s="253">
        <f t="shared" si="54"/>
        <v>0</v>
      </c>
      <c r="F117" s="254">
        <f t="shared" si="56"/>
        <v>156.66666666666666</v>
      </c>
      <c r="G117" s="254">
        <f t="shared" si="57"/>
        <v>156.66666666666666</v>
      </c>
      <c r="H117" s="247">
        <f t="shared" si="59"/>
        <v>0</v>
      </c>
    </row>
    <row r="118" spans="1:8" ht="15.75" x14ac:dyDescent="0.25">
      <c r="A118" s="380"/>
      <c r="B118" s="248" t="s">
        <v>49</v>
      </c>
      <c r="C118" s="253"/>
      <c r="D118" s="253"/>
      <c r="E118" s="253">
        <f t="shared" si="54"/>
        <v>0</v>
      </c>
      <c r="F118" s="254">
        <f t="shared" si="56"/>
        <v>156.66666666666666</v>
      </c>
      <c r="G118" s="254">
        <f t="shared" si="57"/>
        <v>156.66666666666666</v>
      </c>
      <c r="H118" s="247">
        <f t="shared" si="59"/>
        <v>0</v>
      </c>
    </row>
    <row r="119" spans="1:8" ht="15.75" x14ac:dyDescent="0.25">
      <c r="A119" s="380"/>
      <c r="B119" s="248" t="s">
        <v>48</v>
      </c>
      <c r="C119" s="253"/>
      <c r="D119" s="253"/>
      <c r="E119" s="253">
        <f t="shared" si="54"/>
        <v>0</v>
      </c>
      <c r="F119" s="254">
        <f t="shared" si="56"/>
        <v>156.66666666666666</v>
      </c>
      <c r="G119" s="254">
        <f t="shared" si="57"/>
        <v>156.66666666666666</v>
      </c>
      <c r="H119" s="247">
        <f t="shared" si="59"/>
        <v>0</v>
      </c>
    </row>
    <row r="120" spans="1:8" ht="16.5" thickBot="1" x14ac:dyDescent="0.3">
      <c r="A120" s="381"/>
      <c r="B120" s="249" t="s">
        <v>50</v>
      </c>
      <c r="C120" s="250"/>
      <c r="D120" s="250"/>
      <c r="E120" s="250">
        <f t="shared" si="54"/>
        <v>0</v>
      </c>
      <c r="F120" s="251">
        <f t="shared" si="56"/>
        <v>156.66666666666666</v>
      </c>
      <c r="G120" s="251">
        <f t="shared" si="57"/>
        <v>156.66666666666666</v>
      </c>
      <c r="H120" s="252">
        <f t="shared" si="59"/>
        <v>0</v>
      </c>
    </row>
    <row r="121" spans="1:8" ht="16.5" thickTop="1" thickBot="1" x14ac:dyDescent="0.3"/>
    <row r="122" spans="1:8" ht="16.5" thickTop="1" thickBot="1" x14ac:dyDescent="0.3">
      <c r="A122" s="379" t="s">
        <v>106</v>
      </c>
      <c r="B122" s="273" t="s">
        <v>198</v>
      </c>
      <c r="C122" s="274" t="s">
        <v>92</v>
      </c>
      <c r="D122" s="274" t="s">
        <v>93</v>
      </c>
      <c r="E122" s="274" t="s">
        <v>53</v>
      </c>
      <c r="F122" s="275" t="s">
        <v>94</v>
      </c>
      <c r="G122" s="275" t="s">
        <v>95</v>
      </c>
      <c r="H122" s="276" t="s">
        <v>96</v>
      </c>
    </row>
    <row r="123" spans="1:8" ht="15.75" x14ac:dyDescent="0.25">
      <c r="A123" s="380"/>
      <c r="B123" s="266" t="s">
        <v>42</v>
      </c>
      <c r="C123" s="270"/>
      <c r="D123" s="270"/>
      <c r="E123" s="270">
        <f t="shared" ref="E123:E132" si="60">SUM(C123+D123)</f>
        <v>0</v>
      </c>
      <c r="F123" s="271">
        <f>1880/12</f>
        <v>156.66666666666666</v>
      </c>
      <c r="G123" s="271">
        <f>MAX(F123-E123, 0)</f>
        <v>156.66666666666666</v>
      </c>
      <c r="H123" s="272">
        <f t="shared" ref="H123" si="61">C123/F123</f>
        <v>0</v>
      </c>
    </row>
    <row r="124" spans="1:8" ht="15.75" x14ac:dyDescent="0.25">
      <c r="A124" s="380"/>
      <c r="B124" s="248" t="s">
        <v>43</v>
      </c>
      <c r="C124" s="253"/>
      <c r="D124" s="253"/>
      <c r="E124" s="253">
        <f t="shared" si="60"/>
        <v>0</v>
      </c>
      <c r="F124" s="254">
        <f t="shared" ref="F124:F132" si="62">1880/12</f>
        <v>156.66666666666666</v>
      </c>
      <c r="G124" s="254">
        <f t="shared" ref="G124:G132" si="63">MAX(F124-E124, 0)</f>
        <v>156.66666666666666</v>
      </c>
      <c r="H124" s="247">
        <f>C124/F124</f>
        <v>0</v>
      </c>
    </row>
    <row r="125" spans="1:8" ht="15.75" x14ac:dyDescent="0.25">
      <c r="A125" s="380"/>
      <c r="B125" s="248" t="s">
        <v>44</v>
      </c>
      <c r="C125" s="253"/>
      <c r="D125" s="253"/>
      <c r="E125" s="253">
        <f t="shared" si="60"/>
        <v>0</v>
      </c>
      <c r="F125" s="254">
        <f t="shared" si="62"/>
        <v>156.66666666666666</v>
      </c>
      <c r="G125" s="254">
        <f t="shared" si="63"/>
        <v>156.66666666666666</v>
      </c>
      <c r="H125" s="247">
        <f t="shared" ref="H125" si="64">C125/F125</f>
        <v>0</v>
      </c>
    </row>
    <row r="126" spans="1:8" ht="15.75" x14ac:dyDescent="0.25">
      <c r="A126" s="380"/>
      <c r="B126" s="248" t="s">
        <v>47</v>
      </c>
      <c r="C126" s="253"/>
      <c r="D126" s="255"/>
      <c r="E126" s="253">
        <f t="shared" si="60"/>
        <v>0</v>
      </c>
      <c r="F126" s="254">
        <f t="shared" si="62"/>
        <v>156.66666666666666</v>
      </c>
      <c r="G126" s="254">
        <f t="shared" si="63"/>
        <v>156.66666666666666</v>
      </c>
      <c r="H126" s="247">
        <f>C126/F126</f>
        <v>0</v>
      </c>
    </row>
    <row r="127" spans="1:8" ht="15.75" x14ac:dyDescent="0.25">
      <c r="A127" s="380"/>
      <c r="B127" s="248" t="s">
        <v>85</v>
      </c>
      <c r="C127" s="253"/>
      <c r="D127" s="253"/>
      <c r="E127" s="253">
        <f t="shared" si="60"/>
        <v>0</v>
      </c>
      <c r="F127" s="254">
        <f t="shared" si="62"/>
        <v>156.66666666666666</v>
      </c>
      <c r="G127" s="254">
        <f t="shared" si="63"/>
        <v>156.66666666666666</v>
      </c>
      <c r="H127" s="247">
        <f t="shared" ref="H127:H132" si="65">C127/F127</f>
        <v>0</v>
      </c>
    </row>
    <row r="128" spans="1:8" ht="15.75" x14ac:dyDescent="0.25">
      <c r="A128" s="380"/>
      <c r="B128" s="248" t="s">
        <v>87</v>
      </c>
      <c r="C128" s="253"/>
      <c r="D128" s="253"/>
      <c r="E128" s="253">
        <f t="shared" si="60"/>
        <v>0</v>
      </c>
      <c r="F128" s="254">
        <f t="shared" si="62"/>
        <v>156.66666666666666</v>
      </c>
      <c r="G128" s="254">
        <f t="shared" si="63"/>
        <v>156.66666666666666</v>
      </c>
      <c r="H128" s="247">
        <f t="shared" si="65"/>
        <v>0</v>
      </c>
    </row>
    <row r="129" spans="1:8" ht="15.75" x14ac:dyDescent="0.25">
      <c r="A129" s="380"/>
      <c r="B129" s="248" t="s">
        <v>197</v>
      </c>
      <c r="C129" s="253"/>
      <c r="D129" s="253"/>
      <c r="E129" s="253">
        <f t="shared" si="60"/>
        <v>0</v>
      </c>
      <c r="F129" s="254">
        <f t="shared" si="62"/>
        <v>156.66666666666666</v>
      </c>
      <c r="G129" s="254">
        <f t="shared" si="63"/>
        <v>156.66666666666666</v>
      </c>
      <c r="H129" s="247">
        <f t="shared" si="65"/>
        <v>0</v>
      </c>
    </row>
    <row r="130" spans="1:8" ht="15.75" x14ac:dyDescent="0.25">
      <c r="A130" s="380"/>
      <c r="B130" s="248" t="s">
        <v>49</v>
      </c>
      <c r="C130" s="253"/>
      <c r="D130" s="253"/>
      <c r="E130" s="253">
        <f t="shared" si="60"/>
        <v>0</v>
      </c>
      <c r="F130" s="254">
        <f t="shared" si="62"/>
        <v>156.66666666666666</v>
      </c>
      <c r="G130" s="254">
        <f t="shared" si="63"/>
        <v>156.66666666666666</v>
      </c>
      <c r="H130" s="247">
        <f t="shared" si="65"/>
        <v>0</v>
      </c>
    </row>
    <row r="131" spans="1:8" ht="15.75" x14ac:dyDescent="0.25">
      <c r="A131" s="380"/>
      <c r="B131" s="248" t="s">
        <v>48</v>
      </c>
      <c r="C131" s="253"/>
      <c r="D131" s="253"/>
      <c r="E131" s="253">
        <f t="shared" si="60"/>
        <v>0</v>
      </c>
      <c r="F131" s="254">
        <f t="shared" si="62"/>
        <v>156.66666666666666</v>
      </c>
      <c r="G131" s="254">
        <f t="shared" si="63"/>
        <v>156.66666666666666</v>
      </c>
      <c r="H131" s="247">
        <f t="shared" si="65"/>
        <v>0</v>
      </c>
    </row>
    <row r="132" spans="1:8" ht="16.5" thickBot="1" x14ac:dyDescent="0.3">
      <c r="A132" s="381"/>
      <c r="B132" s="249" t="s">
        <v>50</v>
      </c>
      <c r="C132" s="250"/>
      <c r="D132" s="250"/>
      <c r="E132" s="250">
        <f t="shared" si="60"/>
        <v>0</v>
      </c>
      <c r="F132" s="251">
        <f t="shared" si="62"/>
        <v>156.66666666666666</v>
      </c>
      <c r="G132" s="251">
        <f t="shared" si="63"/>
        <v>156.66666666666666</v>
      </c>
      <c r="H132" s="252">
        <f t="shared" si="65"/>
        <v>0</v>
      </c>
    </row>
    <row r="133" spans="1:8" ht="16.5" thickTop="1" thickBot="1" x14ac:dyDescent="0.3"/>
    <row r="134" spans="1:8" ht="16.5" thickTop="1" thickBot="1" x14ac:dyDescent="0.3">
      <c r="A134" s="379" t="s">
        <v>107</v>
      </c>
      <c r="B134" s="273" t="s">
        <v>198</v>
      </c>
      <c r="C134" s="274" t="s">
        <v>92</v>
      </c>
      <c r="D134" s="274" t="s">
        <v>93</v>
      </c>
      <c r="E134" s="274" t="s">
        <v>53</v>
      </c>
      <c r="F134" s="275" t="s">
        <v>94</v>
      </c>
      <c r="G134" s="275" t="s">
        <v>95</v>
      </c>
      <c r="H134" s="276" t="s">
        <v>96</v>
      </c>
    </row>
    <row r="135" spans="1:8" ht="15.75" x14ac:dyDescent="0.25">
      <c r="A135" s="380"/>
      <c r="B135" s="266" t="s">
        <v>42</v>
      </c>
      <c r="C135" s="270"/>
      <c r="D135" s="270"/>
      <c r="E135" s="270">
        <f t="shared" ref="E135:E144" si="66">SUM(C135+D135)</f>
        <v>0</v>
      </c>
      <c r="F135" s="271">
        <f>1880/12</f>
        <v>156.66666666666666</v>
      </c>
      <c r="G135" s="271">
        <f>MAX(F135-E135, 0)</f>
        <v>156.66666666666666</v>
      </c>
      <c r="H135" s="272">
        <f t="shared" ref="H135" si="67">C135/F135</f>
        <v>0</v>
      </c>
    </row>
    <row r="136" spans="1:8" ht="15.75" x14ac:dyDescent="0.25">
      <c r="A136" s="380"/>
      <c r="B136" s="248" t="s">
        <v>43</v>
      </c>
      <c r="C136" s="253"/>
      <c r="D136" s="253"/>
      <c r="E136" s="253">
        <f t="shared" si="66"/>
        <v>0</v>
      </c>
      <c r="F136" s="254">
        <f t="shared" ref="F136:F144" si="68">1880/12</f>
        <v>156.66666666666666</v>
      </c>
      <c r="G136" s="254">
        <f t="shared" ref="G136:G144" si="69">MAX(F136-E136, 0)</f>
        <v>156.66666666666666</v>
      </c>
      <c r="H136" s="247">
        <f>C136/F136</f>
        <v>0</v>
      </c>
    </row>
    <row r="137" spans="1:8" ht="15.75" x14ac:dyDescent="0.25">
      <c r="A137" s="380"/>
      <c r="B137" s="248" t="s">
        <v>44</v>
      </c>
      <c r="C137" s="253"/>
      <c r="D137" s="253"/>
      <c r="E137" s="253">
        <f t="shared" si="66"/>
        <v>0</v>
      </c>
      <c r="F137" s="254">
        <f t="shared" si="68"/>
        <v>156.66666666666666</v>
      </c>
      <c r="G137" s="254">
        <f t="shared" si="69"/>
        <v>156.66666666666666</v>
      </c>
      <c r="H137" s="247">
        <f t="shared" ref="H137" si="70">C137/F137</f>
        <v>0</v>
      </c>
    </row>
    <row r="138" spans="1:8" ht="15.75" x14ac:dyDescent="0.25">
      <c r="A138" s="380"/>
      <c r="B138" s="248" t="s">
        <v>47</v>
      </c>
      <c r="C138" s="253"/>
      <c r="D138" s="255"/>
      <c r="E138" s="253">
        <f t="shared" si="66"/>
        <v>0</v>
      </c>
      <c r="F138" s="254">
        <f t="shared" si="68"/>
        <v>156.66666666666666</v>
      </c>
      <c r="G138" s="254">
        <f t="shared" si="69"/>
        <v>156.66666666666666</v>
      </c>
      <c r="H138" s="247">
        <f>C138/F138</f>
        <v>0</v>
      </c>
    </row>
    <row r="139" spans="1:8" ht="15.75" x14ac:dyDescent="0.25">
      <c r="A139" s="380"/>
      <c r="B139" s="248" t="s">
        <v>85</v>
      </c>
      <c r="C139" s="253"/>
      <c r="D139" s="253"/>
      <c r="E139" s="253">
        <f t="shared" si="66"/>
        <v>0</v>
      </c>
      <c r="F139" s="254">
        <f t="shared" si="68"/>
        <v>156.66666666666666</v>
      </c>
      <c r="G139" s="254">
        <f t="shared" si="69"/>
        <v>156.66666666666666</v>
      </c>
      <c r="H139" s="247">
        <f t="shared" ref="H139:H144" si="71">C139/F139</f>
        <v>0</v>
      </c>
    </row>
    <row r="140" spans="1:8" ht="15.75" x14ac:dyDescent="0.25">
      <c r="A140" s="380"/>
      <c r="B140" s="248" t="s">
        <v>87</v>
      </c>
      <c r="C140" s="253"/>
      <c r="D140" s="253"/>
      <c r="E140" s="253">
        <f t="shared" si="66"/>
        <v>0</v>
      </c>
      <c r="F140" s="254">
        <f t="shared" si="68"/>
        <v>156.66666666666666</v>
      </c>
      <c r="G140" s="254">
        <f t="shared" si="69"/>
        <v>156.66666666666666</v>
      </c>
      <c r="H140" s="247">
        <f t="shared" si="71"/>
        <v>0</v>
      </c>
    </row>
    <row r="141" spans="1:8" ht="15.75" x14ac:dyDescent="0.25">
      <c r="A141" s="380"/>
      <c r="B141" s="248" t="s">
        <v>197</v>
      </c>
      <c r="C141" s="253"/>
      <c r="D141" s="253"/>
      <c r="E141" s="253">
        <f t="shared" si="66"/>
        <v>0</v>
      </c>
      <c r="F141" s="254">
        <f t="shared" si="68"/>
        <v>156.66666666666666</v>
      </c>
      <c r="G141" s="254">
        <f t="shared" si="69"/>
        <v>156.66666666666666</v>
      </c>
      <c r="H141" s="247">
        <f t="shared" si="71"/>
        <v>0</v>
      </c>
    </row>
    <row r="142" spans="1:8" ht="15.75" x14ac:dyDescent="0.25">
      <c r="A142" s="380"/>
      <c r="B142" s="248" t="s">
        <v>49</v>
      </c>
      <c r="C142" s="253"/>
      <c r="D142" s="253"/>
      <c r="E142" s="253">
        <f t="shared" si="66"/>
        <v>0</v>
      </c>
      <c r="F142" s="254">
        <f t="shared" si="68"/>
        <v>156.66666666666666</v>
      </c>
      <c r="G142" s="254">
        <f t="shared" si="69"/>
        <v>156.66666666666666</v>
      </c>
      <c r="H142" s="247">
        <f t="shared" si="71"/>
        <v>0</v>
      </c>
    </row>
    <row r="143" spans="1:8" ht="15.75" x14ac:dyDescent="0.25">
      <c r="A143" s="380"/>
      <c r="B143" s="248" t="s">
        <v>48</v>
      </c>
      <c r="C143" s="253"/>
      <c r="D143" s="253"/>
      <c r="E143" s="253">
        <f t="shared" si="66"/>
        <v>0</v>
      </c>
      <c r="F143" s="254">
        <f t="shared" si="68"/>
        <v>156.66666666666666</v>
      </c>
      <c r="G143" s="254">
        <f t="shared" si="69"/>
        <v>156.66666666666666</v>
      </c>
      <c r="H143" s="247">
        <f t="shared" si="71"/>
        <v>0</v>
      </c>
    </row>
    <row r="144" spans="1:8" ht="16.5" thickBot="1" x14ac:dyDescent="0.3">
      <c r="A144" s="381"/>
      <c r="B144" s="249" t="s">
        <v>50</v>
      </c>
      <c r="C144" s="250"/>
      <c r="D144" s="250"/>
      <c r="E144" s="250">
        <f t="shared" si="66"/>
        <v>0</v>
      </c>
      <c r="F144" s="251">
        <f t="shared" si="68"/>
        <v>156.66666666666666</v>
      </c>
      <c r="G144" s="251">
        <f t="shared" si="69"/>
        <v>156.66666666666666</v>
      </c>
      <c r="H144" s="252">
        <f t="shared" si="71"/>
        <v>0</v>
      </c>
    </row>
    <row r="145" ht="15.75" thickTop="1" x14ac:dyDescent="0.25"/>
  </sheetData>
  <mergeCells count="13">
    <mergeCell ref="S14:AC25"/>
    <mergeCell ref="A14:A24"/>
    <mergeCell ref="A50:A60"/>
    <mergeCell ref="A62:A72"/>
    <mergeCell ref="A74:A84"/>
    <mergeCell ref="A26:A36"/>
    <mergeCell ref="A98:A108"/>
    <mergeCell ref="A110:A120"/>
    <mergeCell ref="A122:A132"/>
    <mergeCell ref="A134:A144"/>
    <mergeCell ref="A2:A12"/>
    <mergeCell ref="A38:A48"/>
    <mergeCell ref="A86:A96"/>
  </mergeCells>
  <pageMargins left="0.7" right="0.7" top="0.75" bottom="0.75" header="0.3" footer="0.3"/>
  <pageSetup orientation="portrait" r:id="rId1"/>
  <ignoredErrors>
    <ignoredError sqref="F3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F27F-E8A5-49C7-B303-13D24A18F74E}">
  <sheetPr>
    <tabColor theme="5" tint="0.39997558519241921"/>
  </sheetPr>
  <dimension ref="A1:O156"/>
  <sheetViews>
    <sheetView topLeftCell="A26" zoomScale="120" zoomScaleNormal="120" workbookViewId="0">
      <selection activeCell="D31" sqref="D31"/>
    </sheetView>
  </sheetViews>
  <sheetFormatPr defaultColWidth="8.75" defaultRowHeight="15" x14ac:dyDescent="0.25"/>
  <cols>
    <col min="1" max="1" width="3.25" style="34" customWidth="1"/>
    <col min="2" max="2" width="12" style="35" customWidth="1"/>
    <col min="3" max="3" width="21.125" style="35" customWidth="1"/>
    <col min="4" max="7" width="21.125" style="34" customWidth="1"/>
    <col min="8" max="8" width="8.75" style="34"/>
    <col min="9" max="9" width="9.5" style="34" customWidth="1"/>
    <col min="10" max="14" width="8.75" style="34"/>
    <col min="15" max="15" width="37.375" style="34" customWidth="1"/>
    <col min="16" max="16384" width="8.75" style="34"/>
  </cols>
  <sheetData>
    <row r="1" spans="1:15" ht="15.75" thickBot="1" x14ac:dyDescent="0.3"/>
    <row r="2" spans="1:15" ht="16.5" customHeight="1" thickBot="1" x14ac:dyDescent="0.3">
      <c r="A2" s="383" t="s">
        <v>91</v>
      </c>
      <c r="B2" s="267" t="s">
        <v>198</v>
      </c>
      <c r="C2" s="268" t="s">
        <v>108</v>
      </c>
      <c r="D2" s="268" t="s">
        <v>109</v>
      </c>
      <c r="E2" s="268" t="s">
        <v>110</v>
      </c>
      <c r="F2" s="268" t="s">
        <v>111</v>
      </c>
      <c r="G2" s="269" t="s">
        <v>112</v>
      </c>
      <c r="I2" s="382" t="s">
        <v>113</v>
      </c>
      <c r="J2" s="386"/>
      <c r="K2" s="386"/>
      <c r="L2" s="386"/>
      <c r="M2" s="386"/>
      <c r="N2" s="386"/>
      <c r="O2" s="386"/>
    </row>
    <row r="3" spans="1:15" ht="15" customHeight="1" x14ac:dyDescent="0.25">
      <c r="A3" s="384"/>
      <c r="B3" s="266" t="s">
        <v>42</v>
      </c>
      <c r="C3" s="121">
        <f t="shared" ref="C3:C12" si="0">D3+E3</f>
        <v>78.8</v>
      </c>
      <c r="D3" s="121">
        <v>62.5</v>
      </c>
      <c r="E3" s="121">
        <v>16.3</v>
      </c>
      <c r="F3" s="258">
        <v>0.2</v>
      </c>
      <c r="G3" s="264">
        <f t="shared" ref="G3:G12" si="1">(D3)/(D3+E3+F3)</f>
        <v>0.79113924050632911</v>
      </c>
      <c r="I3" s="386"/>
      <c r="J3" s="386"/>
      <c r="K3" s="386"/>
      <c r="L3" s="386"/>
      <c r="M3" s="386"/>
      <c r="N3" s="386"/>
      <c r="O3" s="386"/>
    </row>
    <row r="4" spans="1:15" x14ac:dyDescent="0.25">
      <c r="A4" s="384"/>
      <c r="B4" s="248" t="s">
        <v>43</v>
      </c>
      <c r="C4" s="255">
        <f t="shared" si="0"/>
        <v>80.599999999999994</v>
      </c>
      <c r="D4" s="255">
        <v>53.4</v>
      </c>
      <c r="E4" s="255">
        <v>27.2</v>
      </c>
      <c r="F4" s="257">
        <v>24.6</v>
      </c>
      <c r="G4" s="263">
        <f t="shared" si="1"/>
        <v>0.50760456273764265</v>
      </c>
      <c r="I4" s="386"/>
      <c r="J4" s="386"/>
      <c r="K4" s="386"/>
      <c r="L4" s="386"/>
      <c r="M4" s="386"/>
      <c r="N4" s="386"/>
      <c r="O4" s="386"/>
    </row>
    <row r="5" spans="1:15" x14ac:dyDescent="0.25">
      <c r="A5" s="384"/>
      <c r="B5" s="248" t="s">
        <v>44</v>
      </c>
      <c r="C5" s="255">
        <f t="shared" si="0"/>
        <v>88.8</v>
      </c>
      <c r="D5" s="255">
        <v>79.8</v>
      </c>
      <c r="E5" s="255">
        <v>9</v>
      </c>
      <c r="F5" s="255">
        <v>22.4</v>
      </c>
      <c r="G5" s="263">
        <f t="shared" si="1"/>
        <v>0.71762589928057563</v>
      </c>
      <c r="I5" s="386"/>
      <c r="J5" s="386"/>
      <c r="K5" s="386"/>
      <c r="L5" s="386"/>
      <c r="M5" s="386"/>
      <c r="N5" s="386"/>
      <c r="O5" s="386"/>
    </row>
    <row r="6" spans="1:15" x14ac:dyDescent="0.25">
      <c r="A6" s="384"/>
      <c r="B6" s="248" t="s">
        <v>47</v>
      </c>
      <c r="C6" s="255">
        <f t="shared" si="0"/>
        <v>96.1</v>
      </c>
      <c r="D6" s="255">
        <v>90.5</v>
      </c>
      <c r="E6" s="255">
        <v>5.6</v>
      </c>
      <c r="F6" s="255">
        <v>15.8</v>
      </c>
      <c r="G6" s="263">
        <f t="shared" si="1"/>
        <v>0.80875781948168013</v>
      </c>
      <c r="I6" s="386"/>
      <c r="J6" s="386"/>
      <c r="K6" s="386"/>
      <c r="L6" s="386"/>
      <c r="M6" s="386"/>
      <c r="N6" s="386"/>
      <c r="O6" s="386"/>
    </row>
    <row r="7" spans="1:15" x14ac:dyDescent="0.25">
      <c r="A7" s="384"/>
      <c r="B7" s="248" t="s">
        <v>85</v>
      </c>
      <c r="C7" s="255">
        <f t="shared" si="0"/>
        <v>83</v>
      </c>
      <c r="D7" s="255">
        <v>66.3</v>
      </c>
      <c r="E7" s="255">
        <v>16.7</v>
      </c>
      <c r="F7" s="255">
        <v>22</v>
      </c>
      <c r="G7" s="263">
        <f t="shared" si="1"/>
        <v>0.63142857142857145</v>
      </c>
      <c r="I7" s="386"/>
      <c r="J7" s="386"/>
      <c r="K7" s="386"/>
      <c r="L7" s="386"/>
      <c r="M7" s="386"/>
      <c r="N7" s="386"/>
      <c r="O7" s="386"/>
    </row>
    <row r="8" spans="1:15" x14ac:dyDescent="0.25">
      <c r="A8" s="384"/>
      <c r="B8" s="248" t="s">
        <v>87</v>
      </c>
      <c r="C8" s="255">
        <f t="shared" si="0"/>
        <v>87.2</v>
      </c>
      <c r="D8" s="255">
        <v>79.8</v>
      </c>
      <c r="E8" s="255">
        <v>7.4</v>
      </c>
      <c r="F8" s="255">
        <v>3.4</v>
      </c>
      <c r="G8" s="263">
        <f t="shared" si="1"/>
        <v>0.8807947019867548</v>
      </c>
      <c r="I8" s="386"/>
      <c r="J8" s="386"/>
      <c r="K8" s="386"/>
      <c r="L8" s="386"/>
      <c r="M8" s="386"/>
      <c r="N8" s="386"/>
      <c r="O8" s="386"/>
    </row>
    <row r="9" spans="1:15" hidden="1" x14ac:dyDescent="0.25">
      <c r="A9" s="384"/>
      <c r="B9" s="249" t="s">
        <v>199</v>
      </c>
      <c r="C9" s="255">
        <f t="shared" si="0"/>
        <v>0</v>
      </c>
      <c r="D9" s="255"/>
      <c r="E9" s="255"/>
      <c r="F9" s="255"/>
      <c r="G9" s="263" t="e">
        <f t="shared" si="1"/>
        <v>#DIV/0!</v>
      </c>
      <c r="I9" s="386"/>
      <c r="J9" s="386"/>
      <c r="K9" s="386"/>
      <c r="L9" s="386"/>
      <c r="M9" s="386"/>
      <c r="N9" s="386"/>
      <c r="O9" s="386"/>
    </row>
    <row r="10" spans="1:15" x14ac:dyDescent="0.25">
      <c r="A10" s="384"/>
      <c r="B10" s="249" t="s">
        <v>49</v>
      </c>
      <c r="C10" s="255">
        <f t="shared" si="0"/>
        <v>75.599999999999994</v>
      </c>
      <c r="D10" s="255">
        <v>69</v>
      </c>
      <c r="E10" s="255">
        <v>6.6</v>
      </c>
      <c r="F10" s="255">
        <v>12.8</v>
      </c>
      <c r="G10" s="263">
        <f t="shared" si="1"/>
        <v>0.78054298642533948</v>
      </c>
      <c r="I10" s="386"/>
      <c r="J10" s="386"/>
      <c r="K10" s="386"/>
      <c r="L10" s="386"/>
      <c r="M10" s="386"/>
      <c r="N10" s="386"/>
      <c r="O10" s="386"/>
    </row>
    <row r="11" spans="1:15" x14ac:dyDescent="0.25">
      <c r="A11" s="384"/>
      <c r="B11" s="249" t="s">
        <v>48</v>
      </c>
      <c r="C11" s="255">
        <f t="shared" si="0"/>
        <v>71</v>
      </c>
      <c r="D11" s="255">
        <v>65.599999999999994</v>
      </c>
      <c r="E11" s="255">
        <v>5.4</v>
      </c>
      <c r="F11" s="255">
        <v>22.8</v>
      </c>
      <c r="G11" s="263">
        <f t="shared" si="1"/>
        <v>0.6993603411513859</v>
      </c>
      <c r="I11" s="386"/>
      <c r="J11" s="386"/>
      <c r="K11" s="386"/>
      <c r="L11" s="386"/>
      <c r="M11" s="386"/>
      <c r="N11" s="386"/>
      <c r="O11" s="386"/>
    </row>
    <row r="12" spans="1:15" ht="15.75" thickBot="1" x14ac:dyDescent="0.3">
      <c r="A12" s="384"/>
      <c r="B12" s="261" t="s">
        <v>50</v>
      </c>
      <c r="C12" s="255">
        <f t="shared" si="0"/>
        <v>93.2</v>
      </c>
      <c r="D12" s="121">
        <v>89.2</v>
      </c>
      <c r="E12" s="121">
        <v>4</v>
      </c>
      <c r="F12" s="258">
        <v>15</v>
      </c>
      <c r="G12" s="264">
        <f t="shared" si="1"/>
        <v>0.8243992606284658</v>
      </c>
      <c r="I12" s="386"/>
      <c r="J12" s="386"/>
      <c r="K12" s="386"/>
      <c r="L12" s="386"/>
      <c r="M12" s="386"/>
      <c r="N12" s="386"/>
      <c r="O12" s="386"/>
    </row>
    <row r="13" spans="1:15" ht="16.5" thickTop="1" thickBot="1" x14ac:dyDescent="0.3">
      <c r="A13" s="385"/>
      <c r="B13" s="262" t="s">
        <v>53</v>
      </c>
      <c r="C13" s="260">
        <f>SUM(C3:C12)</f>
        <v>754.30000000000007</v>
      </c>
      <c r="D13" s="260">
        <f>SUM(D3:D12)</f>
        <v>656.1</v>
      </c>
      <c r="E13" s="260">
        <f>SUM(E3:E12)</f>
        <v>98.2</v>
      </c>
      <c r="F13" s="260">
        <f>SUM(F3:F12)</f>
        <v>139</v>
      </c>
      <c r="G13" s="265"/>
      <c r="I13" s="386"/>
      <c r="J13" s="386"/>
      <c r="K13" s="386"/>
      <c r="L13" s="386"/>
      <c r="M13" s="386"/>
      <c r="N13" s="386"/>
      <c r="O13" s="386"/>
    </row>
    <row r="14" spans="1:15" ht="15.75" thickBot="1" x14ac:dyDescent="0.3">
      <c r="G14" s="207"/>
      <c r="I14" s="386"/>
      <c r="J14" s="386"/>
      <c r="K14" s="386"/>
      <c r="L14" s="386"/>
      <c r="M14" s="386"/>
      <c r="N14" s="386"/>
      <c r="O14" s="386"/>
    </row>
    <row r="15" spans="1:15" ht="15.75" thickBot="1" x14ac:dyDescent="0.3">
      <c r="A15" s="383" t="s">
        <v>97</v>
      </c>
      <c r="B15" s="267" t="s">
        <v>198</v>
      </c>
      <c r="C15" s="268" t="s">
        <v>108</v>
      </c>
      <c r="D15" s="268" t="s">
        <v>109</v>
      </c>
      <c r="E15" s="268" t="s">
        <v>110</v>
      </c>
      <c r="F15" s="268" t="s">
        <v>111</v>
      </c>
      <c r="G15" s="269" t="s">
        <v>112</v>
      </c>
      <c r="I15" s="386"/>
      <c r="J15" s="386"/>
      <c r="K15" s="386"/>
      <c r="L15" s="386"/>
      <c r="M15" s="386"/>
      <c r="N15" s="386"/>
      <c r="O15" s="386"/>
    </row>
    <row r="16" spans="1:15" x14ac:dyDescent="0.25">
      <c r="A16" s="384"/>
      <c r="B16" s="266" t="s">
        <v>42</v>
      </c>
      <c r="C16" s="121">
        <f t="shared" ref="C16:C25" si="2">D16+E16</f>
        <v>140.19999999999999</v>
      </c>
      <c r="D16" s="121">
        <v>131</v>
      </c>
      <c r="E16" s="121">
        <v>9.1999999999999993</v>
      </c>
      <c r="F16" s="258">
        <v>97</v>
      </c>
      <c r="G16" s="264">
        <f t="shared" ref="G16:G25" si="3">(D16)/(D16+E16+F16)</f>
        <v>0.55227655986509272</v>
      </c>
    </row>
    <row r="17" spans="1:7" x14ac:dyDescent="0.25">
      <c r="A17" s="384"/>
      <c r="B17" s="248" t="s">
        <v>43</v>
      </c>
      <c r="C17" s="255">
        <f t="shared" si="2"/>
        <v>102.60000000000001</v>
      </c>
      <c r="D17" s="255">
        <v>98.2</v>
      </c>
      <c r="E17" s="255">
        <v>4.4000000000000004</v>
      </c>
      <c r="F17" s="257">
        <v>39.200000000000003</v>
      </c>
      <c r="G17" s="263">
        <f t="shared" si="3"/>
        <v>0.69252468265162193</v>
      </c>
    </row>
    <row r="18" spans="1:7" x14ac:dyDescent="0.25">
      <c r="A18" s="384"/>
      <c r="B18" s="248" t="s">
        <v>44</v>
      </c>
      <c r="C18" s="255">
        <f t="shared" si="2"/>
        <v>110.8</v>
      </c>
      <c r="D18" s="255">
        <v>99.2</v>
      </c>
      <c r="E18" s="255">
        <v>11.6</v>
      </c>
      <c r="F18" s="255">
        <v>43</v>
      </c>
      <c r="G18" s="263">
        <f t="shared" si="3"/>
        <v>0.64499349804941475</v>
      </c>
    </row>
    <row r="19" spans="1:7" x14ac:dyDescent="0.25">
      <c r="A19" s="384"/>
      <c r="B19" s="248" t="s">
        <v>47</v>
      </c>
      <c r="C19" s="255">
        <f t="shared" si="2"/>
        <v>15</v>
      </c>
      <c r="D19" s="255">
        <v>15</v>
      </c>
      <c r="E19" s="255">
        <v>0</v>
      </c>
      <c r="F19" s="255">
        <v>13.4</v>
      </c>
      <c r="G19" s="263">
        <f t="shared" si="3"/>
        <v>0.52816901408450712</v>
      </c>
    </row>
    <row r="20" spans="1:7" x14ac:dyDescent="0.25">
      <c r="A20" s="384"/>
      <c r="B20" s="248" t="s">
        <v>85</v>
      </c>
      <c r="C20" s="255">
        <f t="shared" si="2"/>
        <v>97.399999999999991</v>
      </c>
      <c r="D20" s="255">
        <v>80.099999999999994</v>
      </c>
      <c r="E20" s="255">
        <v>17.3</v>
      </c>
      <c r="F20" s="255">
        <v>14</v>
      </c>
      <c r="G20" s="263">
        <f t="shared" si="3"/>
        <v>0.71903052064631956</v>
      </c>
    </row>
    <row r="21" spans="1:7" x14ac:dyDescent="0.25">
      <c r="A21" s="384"/>
      <c r="B21" s="248" t="s">
        <v>87</v>
      </c>
      <c r="C21" s="255">
        <f t="shared" si="2"/>
        <v>104.2</v>
      </c>
      <c r="D21" s="255">
        <v>94.8</v>
      </c>
      <c r="E21" s="255">
        <v>9.4</v>
      </c>
      <c r="F21" s="255">
        <v>15.6</v>
      </c>
      <c r="G21" s="263">
        <f t="shared" si="3"/>
        <v>0.79131886477462432</v>
      </c>
    </row>
    <row r="22" spans="1:7" hidden="1" x14ac:dyDescent="0.25">
      <c r="A22" s="384"/>
      <c r="B22" s="249" t="s">
        <v>199</v>
      </c>
      <c r="C22" s="255">
        <f t="shared" si="2"/>
        <v>0</v>
      </c>
      <c r="D22" s="255"/>
      <c r="E22" s="255"/>
      <c r="F22" s="255"/>
      <c r="G22" s="263" t="e">
        <f t="shared" si="3"/>
        <v>#DIV/0!</v>
      </c>
    </row>
    <row r="23" spans="1:7" x14ac:dyDescent="0.25">
      <c r="A23" s="384"/>
      <c r="B23" s="249" t="s">
        <v>49</v>
      </c>
      <c r="C23" s="255">
        <f t="shared" si="2"/>
        <v>93.399999999999991</v>
      </c>
      <c r="D23" s="255">
        <v>79.8</v>
      </c>
      <c r="E23" s="255">
        <v>13.6</v>
      </c>
      <c r="F23" s="255">
        <v>23.8</v>
      </c>
      <c r="G23" s="263">
        <f t="shared" si="3"/>
        <v>0.6808873720136519</v>
      </c>
    </row>
    <row r="24" spans="1:7" x14ac:dyDescent="0.25">
      <c r="A24" s="384"/>
      <c r="B24" s="249" t="s">
        <v>48</v>
      </c>
      <c r="C24" s="255">
        <f t="shared" si="2"/>
        <v>79.8</v>
      </c>
      <c r="D24" s="255">
        <v>76</v>
      </c>
      <c r="E24" s="255">
        <v>3.8</v>
      </c>
      <c r="F24" s="255">
        <v>19</v>
      </c>
      <c r="G24" s="263">
        <f t="shared" si="3"/>
        <v>0.76923076923076927</v>
      </c>
    </row>
    <row r="25" spans="1:7" ht="15.75" thickBot="1" x14ac:dyDescent="0.3">
      <c r="A25" s="384"/>
      <c r="B25" s="261" t="s">
        <v>50</v>
      </c>
      <c r="C25" s="255">
        <f t="shared" si="2"/>
        <v>97.600000000000009</v>
      </c>
      <c r="D25" s="121">
        <v>85.2</v>
      </c>
      <c r="E25" s="121">
        <v>12.4</v>
      </c>
      <c r="F25" s="258">
        <v>28.6</v>
      </c>
      <c r="G25" s="264">
        <f t="shared" si="3"/>
        <v>0.67511885895404111</v>
      </c>
    </row>
    <row r="26" spans="1:7" ht="16.5" thickTop="1" thickBot="1" x14ac:dyDescent="0.3">
      <c r="A26" s="385"/>
      <c r="B26" s="262" t="s">
        <v>53</v>
      </c>
      <c r="C26" s="260">
        <f>SUM(C16:C25)</f>
        <v>841</v>
      </c>
      <c r="D26" s="260">
        <f>SUM(D16:D25)</f>
        <v>759.3</v>
      </c>
      <c r="E26" s="260">
        <f>SUM(E16:E25)</f>
        <v>81.7</v>
      </c>
      <c r="F26" s="260">
        <f>SUM(F16:F25)</f>
        <v>293.60000000000002</v>
      </c>
      <c r="G26" s="265"/>
    </row>
    <row r="27" spans="1:7" ht="15.75" thickBot="1" x14ac:dyDescent="0.3"/>
    <row r="28" spans="1:7" ht="15.75" thickBot="1" x14ac:dyDescent="0.3">
      <c r="A28" s="383" t="s">
        <v>98</v>
      </c>
      <c r="B28" s="267" t="s">
        <v>198</v>
      </c>
      <c r="C28" s="268" t="s">
        <v>108</v>
      </c>
      <c r="D28" s="268" t="s">
        <v>109</v>
      </c>
      <c r="E28" s="268" t="s">
        <v>110</v>
      </c>
      <c r="F28" s="268" t="s">
        <v>111</v>
      </c>
      <c r="G28" s="269" t="s">
        <v>112</v>
      </c>
    </row>
    <row r="29" spans="1:7" x14ac:dyDescent="0.25">
      <c r="A29" s="384"/>
      <c r="B29" s="266" t="s">
        <v>42</v>
      </c>
      <c r="C29" s="121">
        <f t="shared" ref="C29:C38" si="4">D29+E29</f>
        <v>169.4</v>
      </c>
      <c r="D29" s="121">
        <v>154</v>
      </c>
      <c r="E29" s="121">
        <v>15.4</v>
      </c>
      <c r="F29" s="258">
        <v>109</v>
      </c>
      <c r="G29" s="264">
        <f t="shared" ref="G29:G38" si="5">(D29)/(D29+E29+F29)</f>
        <v>0.55316091954022995</v>
      </c>
    </row>
    <row r="30" spans="1:7" x14ac:dyDescent="0.25">
      <c r="A30" s="384"/>
      <c r="B30" s="248" t="s">
        <v>43</v>
      </c>
      <c r="C30" s="255">
        <f t="shared" si="4"/>
        <v>90</v>
      </c>
      <c r="D30" s="255">
        <v>74.599999999999994</v>
      </c>
      <c r="E30" s="255">
        <v>15.4</v>
      </c>
      <c r="F30" s="257">
        <v>80.2</v>
      </c>
      <c r="G30" s="263">
        <f t="shared" si="5"/>
        <v>0.4383078730904818</v>
      </c>
    </row>
    <row r="31" spans="1:7" x14ac:dyDescent="0.25">
      <c r="A31" s="384"/>
      <c r="B31" s="248" t="s">
        <v>44</v>
      </c>
      <c r="C31" s="255">
        <f t="shared" si="4"/>
        <v>189.4</v>
      </c>
      <c r="D31" s="255">
        <v>184</v>
      </c>
      <c r="E31" s="255">
        <v>5.4</v>
      </c>
      <c r="F31" s="255">
        <v>29.6</v>
      </c>
      <c r="G31" s="263">
        <f t="shared" si="5"/>
        <v>0.84018264840182644</v>
      </c>
    </row>
    <row r="32" spans="1:7" x14ac:dyDescent="0.25">
      <c r="A32" s="384"/>
      <c r="B32" s="248" t="s">
        <v>47</v>
      </c>
      <c r="C32" s="255">
        <f t="shared" si="4"/>
        <v>107.10000000000001</v>
      </c>
      <c r="D32" s="255">
        <v>95.9</v>
      </c>
      <c r="E32" s="255">
        <v>11.2</v>
      </c>
      <c r="F32" s="255">
        <v>26.8</v>
      </c>
      <c r="G32" s="263">
        <f t="shared" si="5"/>
        <v>0.71620612397311423</v>
      </c>
    </row>
    <row r="33" spans="1:7" x14ac:dyDescent="0.25">
      <c r="A33" s="384"/>
      <c r="B33" s="248" t="s">
        <v>85</v>
      </c>
      <c r="C33" s="255">
        <f t="shared" si="4"/>
        <v>104.6</v>
      </c>
      <c r="D33" s="255">
        <v>92.3</v>
      </c>
      <c r="E33" s="255">
        <v>12.3</v>
      </c>
      <c r="F33" s="255">
        <v>10</v>
      </c>
      <c r="G33" s="263">
        <f t="shared" si="5"/>
        <v>0.80541012216404884</v>
      </c>
    </row>
    <row r="34" spans="1:7" x14ac:dyDescent="0.25">
      <c r="A34" s="384"/>
      <c r="B34" s="248" t="s">
        <v>87</v>
      </c>
      <c r="C34" s="255">
        <f t="shared" si="4"/>
        <v>102.8</v>
      </c>
      <c r="D34" s="255">
        <v>94</v>
      </c>
      <c r="E34" s="255">
        <v>8.8000000000000007</v>
      </c>
      <c r="F34" s="255">
        <v>8.6</v>
      </c>
      <c r="G34" s="263">
        <f t="shared" si="5"/>
        <v>0.84380610412926393</v>
      </c>
    </row>
    <row r="35" spans="1:7" x14ac:dyDescent="0.25">
      <c r="A35" s="384"/>
      <c r="B35" s="249" t="s">
        <v>199</v>
      </c>
      <c r="C35" s="255">
        <f t="shared" si="4"/>
        <v>38.6</v>
      </c>
      <c r="D35" s="255">
        <v>13.4</v>
      </c>
      <c r="E35" s="255">
        <v>25.2</v>
      </c>
      <c r="F35" s="255">
        <v>34.200000000000003</v>
      </c>
      <c r="G35" s="263">
        <f t="shared" si="5"/>
        <v>0.18406593406593405</v>
      </c>
    </row>
    <row r="36" spans="1:7" x14ac:dyDescent="0.25">
      <c r="A36" s="384"/>
      <c r="B36" s="249" t="s">
        <v>49</v>
      </c>
      <c r="C36" s="255">
        <f t="shared" si="4"/>
        <v>64.8</v>
      </c>
      <c r="D36" s="400">
        <v>46.6</v>
      </c>
      <c r="E36" s="255">
        <v>18.2</v>
      </c>
      <c r="F36" s="255">
        <v>28</v>
      </c>
      <c r="G36" s="263">
        <f t="shared" si="5"/>
        <v>0.50215517241379315</v>
      </c>
    </row>
    <row r="37" spans="1:7" x14ac:dyDescent="0.25">
      <c r="A37" s="384"/>
      <c r="B37" s="249" t="s">
        <v>48</v>
      </c>
      <c r="C37" s="255">
        <f t="shared" si="4"/>
        <v>106.60000000000001</v>
      </c>
      <c r="D37" s="400">
        <v>90.7</v>
      </c>
      <c r="E37" s="255">
        <v>15.9</v>
      </c>
      <c r="F37" s="255">
        <v>16.8</v>
      </c>
      <c r="G37" s="263">
        <f t="shared" si="5"/>
        <v>0.73500810372771475</v>
      </c>
    </row>
    <row r="38" spans="1:7" ht="15.75" thickBot="1" x14ac:dyDescent="0.3">
      <c r="A38" s="384"/>
      <c r="B38" s="261" t="s">
        <v>50</v>
      </c>
      <c r="C38" s="255">
        <f t="shared" si="4"/>
        <v>100.6</v>
      </c>
      <c r="D38" s="121">
        <v>82.2</v>
      </c>
      <c r="E38" s="121">
        <v>18.399999999999999</v>
      </c>
      <c r="F38" s="258">
        <v>29</v>
      </c>
      <c r="G38" s="264">
        <f t="shared" si="5"/>
        <v>0.6342592592592593</v>
      </c>
    </row>
    <row r="39" spans="1:7" ht="16.5" thickTop="1" thickBot="1" x14ac:dyDescent="0.3">
      <c r="A39" s="385"/>
      <c r="B39" s="262" t="s">
        <v>53</v>
      </c>
      <c r="C39" s="260">
        <f>SUM(C29:C38)</f>
        <v>1073.8999999999999</v>
      </c>
      <c r="D39" s="260">
        <f>SUM(D29:D38)</f>
        <v>927.7</v>
      </c>
      <c r="E39" s="260">
        <f>SUM(E29:E38)</f>
        <v>146.20000000000002</v>
      </c>
      <c r="F39" s="260">
        <f>SUM(F29:F38)</f>
        <v>372.2</v>
      </c>
      <c r="G39" s="265"/>
    </row>
    <row r="40" spans="1:7" ht="15.75" thickBot="1" x14ac:dyDescent="0.3"/>
    <row r="41" spans="1:7" ht="15.75" thickBot="1" x14ac:dyDescent="0.3">
      <c r="A41" s="383" t="s">
        <v>99</v>
      </c>
      <c r="B41" s="267" t="s">
        <v>198</v>
      </c>
      <c r="C41" s="268" t="s">
        <v>108</v>
      </c>
      <c r="D41" s="268" t="s">
        <v>109</v>
      </c>
      <c r="E41" s="268" t="s">
        <v>110</v>
      </c>
      <c r="F41" s="268" t="s">
        <v>111</v>
      </c>
      <c r="G41" s="269" t="s">
        <v>112</v>
      </c>
    </row>
    <row r="42" spans="1:7" x14ac:dyDescent="0.25">
      <c r="A42" s="384"/>
      <c r="B42" s="266" t="s">
        <v>42</v>
      </c>
      <c r="C42" s="121">
        <f t="shared" ref="C42:C51" si="6">D42+E42</f>
        <v>0</v>
      </c>
      <c r="D42" s="121"/>
      <c r="E42" s="121"/>
      <c r="F42" s="258"/>
      <c r="G42" s="264" t="e">
        <f t="shared" ref="G42:G51" si="7">(D42)/(D42+E42+F42)</f>
        <v>#DIV/0!</v>
      </c>
    </row>
    <row r="43" spans="1:7" x14ac:dyDescent="0.25">
      <c r="A43" s="384"/>
      <c r="B43" s="248" t="s">
        <v>43</v>
      </c>
      <c r="C43" s="255">
        <f t="shared" si="6"/>
        <v>0</v>
      </c>
      <c r="D43" s="255"/>
      <c r="E43" s="255"/>
      <c r="F43" s="257"/>
      <c r="G43" s="263" t="e">
        <f t="shared" si="7"/>
        <v>#DIV/0!</v>
      </c>
    </row>
    <row r="44" spans="1:7" x14ac:dyDescent="0.25">
      <c r="A44" s="384"/>
      <c r="B44" s="248" t="s">
        <v>44</v>
      </c>
      <c r="C44" s="255">
        <f t="shared" si="6"/>
        <v>0</v>
      </c>
      <c r="D44" s="255"/>
      <c r="E44" s="255"/>
      <c r="F44" s="255"/>
      <c r="G44" s="263" t="e">
        <f t="shared" si="7"/>
        <v>#DIV/0!</v>
      </c>
    </row>
    <row r="45" spans="1:7" x14ac:dyDescent="0.25">
      <c r="A45" s="384"/>
      <c r="B45" s="248" t="s">
        <v>47</v>
      </c>
      <c r="C45" s="255">
        <f t="shared" si="6"/>
        <v>0</v>
      </c>
      <c r="D45" s="255"/>
      <c r="E45" s="255"/>
      <c r="F45" s="255"/>
      <c r="G45" s="263" t="e">
        <f t="shared" si="7"/>
        <v>#DIV/0!</v>
      </c>
    </row>
    <row r="46" spans="1:7" x14ac:dyDescent="0.25">
      <c r="A46" s="384"/>
      <c r="B46" s="248" t="s">
        <v>85</v>
      </c>
      <c r="C46" s="255">
        <f t="shared" si="6"/>
        <v>0</v>
      </c>
      <c r="D46" s="255"/>
      <c r="E46" s="255"/>
      <c r="F46" s="255"/>
      <c r="G46" s="263" t="e">
        <f t="shared" si="7"/>
        <v>#DIV/0!</v>
      </c>
    </row>
    <row r="47" spans="1:7" x14ac:dyDescent="0.25">
      <c r="A47" s="384"/>
      <c r="B47" s="248" t="s">
        <v>87</v>
      </c>
      <c r="C47" s="255">
        <f t="shared" si="6"/>
        <v>0</v>
      </c>
      <c r="D47" s="255"/>
      <c r="E47" s="255"/>
      <c r="F47" s="255"/>
      <c r="G47" s="263" t="e">
        <f t="shared" si="7"/>
        <v>#DIV/0!</v>
      </c>
    </row>
    <row r="48" spans="1:7" x14ac:dyDescent="0.25">
      <c r="A48" s="384"/>
      <c r="B48" s="249" t="s">
        <v>199</v>
      </c>
      <c r="C48" s="255">
        <f t="shared" si="6"/>
        <v>0</v>
      </c>
      <c r="D48" s="255"/>
      <c r="E48" s="255"/>
      <c r="F48" s="255"/>
      <c r="G48" s="263" t="e">
        <f t="shared" si="7"/>
        <v>#DIV/0!</v>
      </c>
    </row>
    <row r="49" spans="1:7" x14ac:dyDescent="0.25">
      <c r="A49" s="384"/>
      <c r="B49" s="249" t="s">
        <v>49</v>
      </c>
      <c r="C49" s="255">
        <f t="shared" si="6"/>
        <v>0</v>
      </c>
      <c r="D49" s="255"/>
      <c r="E49" s="255"/>
      <c r="F49" s="255"/>
      <c r="G49" s="263" t="e">
        <f t="shared" si="7"/>
        <v>#DIV/0!</v>
      </c>
    </row>
    <row r="50" spans="1:7" x14ac:dyDescent="0.25">
      <c r="A50" s="384"/>
      <c r="B50" s="249" t="s">
        <v>48</v>
      </c>
      <c r="C50" s="255">
        <f t="shared" si="6"/>
        <v>0</v>
      </c>
      <c r="D50" s="255"/>
      <c r="E50" s="255"/>
      <c r="F50" s="255"/>
      <c r="G50" s="263" t="e">
        <f t="shared" si="7"/>
        <v>#DIV/0!</v>
      </c>
    </row>
    <row r="51" spans="1:7" ht="15.75" thickBot="1" x14ac:dyDescent="0.3">
      <c r="A51" s="384"/>
      <c r="B51" s="261" t="s">
        <v>50</v>
      </c>
      <c r="C51" s="255">
        <f t="shared" si="6"/>
        <v>0</v>
      </c>
      <c r="D51" s="121"/>
      <c r="E51" s="121"/>
      <c r="F51" s="258"/>
      <c r="G51" s="264" t="e">
        <f t="shared" si="7"/>
        <v>#DIV/0!</v>
      </c>
    </row>
    <row r="52" spans="1:7" ht="16.5" thickTop="1" thickBot="1" x14ac:dyDescent="0.3">
      <c r="A52" s="385"/>
      <c r="B52" s="262" t="s">
        <v>53</v>
      </c>
      <c r="C52" s="260">
        <f>SUM(C42:C51)</f>
        <v>0</v>
      </c>
      <c r="D52" s="260">
        <f>SUM(D42:D51)</f>
        <v>0</v>
      </c>
      <c r="E52" s="260">
        <f>SUM(E42:E51)</f>
        <v>0</v>
      </c>
      <c r="F52" s="260">
        <f>SUM(F42:F51)</f>
        <v>0</v>
      </c>
      <c r="G52" s="265"/>
    </row>
    <row r="53" spans="1:7" ht="15.75" thickBot="1" x14ac:dyDescent="0.3"/>
    <row r="54" spans="1:7" ht="15.75" thickBot="1" x14ac:dyDescent="0.3">
      <c r="A54" s="383" t="s">
        <v>100</v>
      </c>
      <c r="B54" s="267" t="s">
        <v>198</v>
      </c>
      <c r="C54" s="268" t="s">
        <v>108</v>
      </c>
      <c r="D54" s="268" t="s">
        <v>109</v>
      </c>
      <c r="E54" s="268" t="s">
        <v>110</v>
      </c>
      <c r="F54" s="268" t="s">
        <v>111</v>
      </c>
      <c r="G54" s="269" t="s">
        <v>112</v>
      </c>
    </row>
    <row r="55" spans="1:7" x14ac:dyDescent="0.25">
      <c r="A55" s="384"/>
      <c r="B55" s="266" t="s">
        <v>42</v>
      </c>
      <c r="C55" s="121">
        <f t="shared" ref="C55:C64" si="8">D55+E55</f>
        <v>0</v>
      </c>
      <c r="D55" s="121"/>
      <c r="E55" s="121"/>
      <c r="F55" s="258"/>
      <c r="G55" s="264" t="e">
        <f t="shared" ref="G55:G64" si="9">(D55)/(D55+E55+F55)</f>
        <v>#DIV/0!</v>
      </c>
    </row>
    <row r="56" spans="1:7" x14ac:dyDescent="0.25">
      <c r="A56" s="384"/>
      <c r="B56" s="248" t="s">
        <v>43</v>
      </c>
      <c r="C56" s="255">
        <f t="shared" si="8"/>
        <v>0</v>
      </c>
      <c r="D56" s="255"/>
      <c r="E56" s="255"/>
      <c r="F56" s="257"/>
      <c r="G56" s="263" t="e">
        <f t="shared" si="9"/>
        <v>#DIV/0!</v>
      </c>
    </row>
    <row r="57" spans="1:7" x14ac:dyDescent="0.25">
      <c r="A57" s="384"/>
      <c r="B57" s="248" t="s">
        <v>44</v>
      </c>
      <c r="C57" s="255">
        <f t="shared" si="8"/>
        <v>0</v>
      </c>
      <c r="D57" s="255"/>
      <c r="E57" s="255"/>
      <c r="F57" s="255"/>
      <c r="G57" s="263" t="e">
        <f t="shared" si="9"/>
        <v>#DIV/0!</v>
      </c>
    </row>
    <row r="58" spans="1:7" x14ac:dyDescent="0.25">
      <c r="A58" s="384"/>
      <c r="B58" s="248" t="s">
        <v>47</v>
      </c>
      <c r="C58" s="255">
        <f t="shared" si="8"/>
        <v>0</v>
      </c>
      <c r="D58" s="255"/>
      <c r="E58" s="255"/>
      <c r="F58" s="255"/>
      <c r="G58" s="263" t="e">
        <f t="shared" si="9"/>
        <v>#DIV/0!</v>
      </c>
    </row>
    <row r="59" spans="1:7" x14ac:dyDescent="0.25">
      <c r="A59" s="384"/>
      <c r="B59" s="248" t="s">
        <v>85</v>
      </c>
      <c r="C59" s="255">
        <f t="shared" si="8"/>
        <v>0</v>
      </c>
      <c r="D59" s="255"/>
      <c r="E59" s="255"/>
      <c r="F59" s="255"/>
      <c r="G59" s="263" t="e">
        <f t="shared" si="9"/>
        <v>#DIV/0!</v>
      </c>
    </row>
    <row r="60" spans="1:7" x14ac:dyDescent="0.25">
      <c r="A60" s="384"/>
      <c r="B60" s="248" t="s">
        <v>87</v>
      </c>
      <c r="C60" s="255">
        <f t="shared" si="8"/>
        <v>0</v>
      </c>
      <c r="D60" s="255"/>
      <c r="E60" s="255"/>
      <c r="F60" s="255"/>
      <c r="G60" s="263" t="e">
        <f t="shared" si="9"/>
        <v>#DIV/0!</v>
      </c>
    </row>
    <row r="61" spans="1:7" x14ac:dyDescent="0.25">
      <c r="A61" s="384"/>
      <c r="B61" s="249" t="s">
        <v>199</v>
      </c>
      <c r="C61" s="255">
        <f t="shared" si="8"/>
        <v>0</v>
      </c>
      <c r="D61" s="255"/>
      <c r="E61" s="255"/>
      <c r="F61" s="255"/>
      <c r="G61" s="263" t="e">
        <f t="shared" si="9"/>
        <v>#DIV/0!</v>
      </c>
    </row>
    <row r="62" spans="1:7" x14ac:dyDescent="0.25">
      <c r="A62" s="384"/>
      <c r="B62" s="249" t="s">
        <v>49</v>
      </c>
      <c r="C62" s="255">
        <f t="shared" si="8"/>
        <v>0</v>
      </c>
      <c r="D62" s="255"/>
      <c r="E62" s="255"/>
      <c r="F62" s="255"/>
      <c r="G62" s="263" t="e">
        <f t="shared" si="9"/>
        <v>#DIV/0!</v>
      </c>
    </row>
    <row r="63" spans="1:7" x14ac:dyDescent="0.25">
      <c r="A63" s="384"/>
      <c r="B63" s="249" t="s">
        <v>48</v>
      </c>
      <c r="C63" s="255">
        <f t="shared" si="8"/>
        <v>0</v>
      </c>
      <c r="D63" s="255"/>
      <c r="E63" s="255"/>
      <c r="F63" s="255"/>
      <c r="G63" s="263" t="e">
        <f t="shared" si="9"/>
        <v>#DIV/0!</v>
      </c>
    </row>
    <row r="64" spans="1:7" ht="15.75" thickBot="1" x14ac:dyDescent="0.3">
      <c r="A64" s="384"/>
      <c r="B64" s="261" t="s">
        <v>50</v>
      </c>
      <c r="C64" s="255">
        <f t="shared" si="8"/>
        <v>0</v>
      </c>
      <c r="D64" s="121"/>
      <c r="E64" s="121"/>
      <c r="F64" s="258"/>
      <c r="G64" s="264" t="e">
        <f t="shared" si="9"/>
        <v>#DIV/0!</v>
      </c>
    </row>
    <row r="65" spans="1:7" ht="16.5" thickTop="1" thickBot="1" x14ac:dyDescent="0.3">
      <c r="A65" s="385"/>
      <c r="B65" s="262" t="s">
        <v>53</v>
      </c>
      <c r="C65" s="260">
        <f>SUM(C55:C64)</f>
        <v>0</v>
      </c>
      <c r="D65" s="260">
        <f>SUM(D55:D64)</f>
        <v>0</v>
      </c>
      <c r="E65" s="260">
        <f>SUM(E55:E64)</f>
        <v>0</v>
      </c>
      <c r="F65" s="260">
        <f>SUM(F55:F64)</f>
        <v>0</v>
      </c>
      <c r="G65" s="265"/>
    </row>
    <row r="66" spans="1:7" ht="15.75" thickBot="1" x14ac:dyDescent="0.3"/>
    <row r="67" spans="1:7" ht="15.75" thickBot="1" x14ac:dyDescent="0.3">
      <c r="A67" s="383" t="s">
        <v>101</v>
      </c>
      <c r="B67" s="267" t="s">
        <v>198</v>
      </c>
      <c r="C67" s="268" t="s">
        <v>108</v>
      </c>
      <c r="D67" s="268" t="s">
        <v>109</v>
      </c>
      <c r="E67" s="268" t="s">
        <v>110</v>
      </c>
      <c r="F67" s="268" t="s">
        <v>111</v>
      </c>
      <c r="G67" s="269" t="s">
        <v>112</v>
      </c>
    </row>
    <row r="68" spans="1:7" x14ac:dyDescent="0.25">
      <c r="A68" s="384"/>
      <c r="B68" s="266" t="s">
        <v>42</v>
      </c>
      <c r="C68" s="121">
        <f t="shared" ref="C68:C77" si="10">D68+E68</f>
        <v>0</v>
      </c>
      <c r="D68" s="121"/>
      <c r="E68" s="121"/>
      <c r="F68" s="258"/>
      <c r="G68" s="264" t="e">
        <f t="shared" ref="G68:G77" si="11">(D68)/(D68+E68+F68)</f>
        <v>#DIV/0!</v>
      </c>
    </row>
    <row r="69" spans="1:7" x14ac:dyDescent="0.25">
      <c r="A69" s="384"/>
      <c r="B69" s="248" t="s">
        <v>43</v>
      </c>
      <c r="C69" s="255">
        <f t="shared" si="10"/>
        <v>0</v>
      </c>
      <c r="D69" s="255"/>
      <c r="E69" s="255"/>
      <c r="F69" s="257"/>
      <c r="G69" s="263" t="e">
        <f t="shared" si="11"/>
        <v>#DIV/0!</v>
      </c>
    </row>
    <row r="70" spans="1:7" x14ac:dyDescent="0.25">
      <c r="A70" s="384"/>
      <c r="B70" s="248" t="s">
        <v>44</v>
      </c>
      <c r="C70" s="255">
        <f t="shared" si="10"/>
        <v>0</v>
      </c>
      <c r="D70" s="255"/>
      <c r="E70" s="255"/>
      <c r="F70" s="255"/>
      <c r="G70" s="263" t="e">
        <f t="shared" si="11"/>
        <v>#DIV/0!</v>
      </c>
    </row>
    <row r="71" spans="1:7" x14ac:dyDescent="0.25">
      <c r="A71" s="384"/>
      <c r="B71" s="248" t="s">
        <v>47</v>
      </c>
      <c r="C71" s="255">
        <f t="shared" si="10"/>
        <v>0</v>
      </c>
      <c r="D71" s="255"/>
      <c r="E71" s="255"/>
      <c r="F71" s="255"/>
      <c r="G71" s="263" t="e">
        <f t="shared" si="11"/>
        <v>#DIV/0!</v>
      </c>
    </row>
    <row r="72" spans="1:7" x14ac:dyDescent="0.25">
      <c r="A72" s="384"/>
      <c r="B72" s="248" t="s">
        <v>85</v>
      </c>
      <c r="C72" s="255">
        <f t="shared" si="10"/>
        <v>0</v>
      </c>
      <c r="D72" s="255"/>
      <c r="E72" s="255"/>
      <c r="F72" s="255"/>
      <c r="G72" s="263" t="e">
        <f t="shared" si="11"/>
        <v>#DIV/0!</v>
      </c>
    </row>
    <row r="73" spans="1:7" x14ac:dyDescent="0.25">
      <c r="A73" s="384"/>
      <c r="B73" s="248" t="s">
        <v>87</v>
      </c>
      <c r="C73" s="255">
        <f t="shared" si="10"/>
        <v>0</v>
      </c>
      <c r="D73" s="255"/>
      <c r="E73" s="255"/>
      <c r="F73" s="255"/>
      <c r="G73" s="263" t="e">
        <f t="shared" si="11"/>
        <v>#DIV/0!</v>
      </c>
    </row>
    <row r="74" spans="1:7" x14ac:dyDescent="0.25">
      <c r="A74" s="384"/>
      <c r="B74" s="249" t="s">
        <v>199</v>
      </c>
      <c r="C74" s="255">
        <f t="shared" si="10"/>
        <v>0</v>
      </c>
      <c r="D74" s="255"/>
      <c r="E74" s="255"/>
      <c r="F74" s="255"/>
      <c r="G74" s="263" t="e">
        <f t="shared" si="11"/>
        <v>#DIV/0!</v>
      </c>
    </row>
    <row r="75" spans="1:7" x14ac:dyDescent="0.25">
      <c r="A75" s="384"/>
      <c r="B75" s="249" t="s">
        <v>49</v>
      </c>
      <c r="C75" s="255">
        <f t="shared" si="10"/>
        <v>0</v>
      </c>
      <c r="D75" s="255"/>
      <c r="E75" s="255"/>
      <c r="F75" s="255"/>
      <c r="G75" s="263" t="e">
        <f t="shared" si="11"/>
        <v>#DIV/0!</v>
      </c>
    </row>
    <row r="76" spans="1:7" x14ac:dyDescent="0.25">
      <c r="A76" s="384"/>
      <c r="B76" s="249" t="s">
        <v>48</v>
      </c>
      <c r="C76" s="255">
        <f t="shared" si="10"/>
        <v>0</v>
      </c>
      <c r="D76" s="255"/>
      <c r="E76" s="255"/>
      <c r="F76" s="255"/>
      <c r="G76" s="263" t="e">
        <f t="shared" si="11"/>
        <v>#DIV/0!</v>
      </c>
    </row>
    <row r="77" spans="1:7" ht="15.75" thickBot="1" x14ac:dyDescent="0.3">
      <c r="A77" s="384"/>
      <c r="B77" s="261" t="s">
        <v>50</v>
      </c>
      <c r="C77" s="255">
        <f t="shared" si="10"/>
        <v>0</v>
      </c>
      <c r="D77" s="121"/>
      <c r="E77" s="121"/>
      <c r="F77" s="258"/>
      <c r="G77" s="264" t="e">
        <f t="shared" si="11"/>
        <v>#DIV/0!</v>
      </c>
    </row>
    <row r="78" spans="1:7" ht="16.5" thickTop="1" thickBot="1" x14ac:dyDescent="0.3">
      <c r="A78" s="385"/>
      <c r="B78" s="262" t="s">
        <v>53</v>
      </c>
      <c r="C78" s="260">
        <f>SUM(C68:C77)</f>
        <v>0</v>
      </c>
      <c r="D78" s="260">
        <f>SUM(D68:D77)</f>
        <v>0</v>
      </c>
      <c r="E78" s="260">
        <f>SUM(E68:E77)</f>
        <v>0</v>
      </c>
      <c r="F78" s="260">
        <f>SUM(F68:F77)</f>
        <v>0</v>
      </c>
      <c r="G78" s="265"/>
    </row>
    <row r="79" spans="1:7" ht="15.75" thickBot="1" x14ac:dyDescent="0.3"/>
    <row r="80" spans="1:7" ht="15.75" thickBot="1" x14ac:dyDescent="0.3">
      <c r="A80" s="383" t="s">
        <v>102</v>
      </c>
      <c r="B80" s="267" t="s">
        <v>198</v>
      </c>
      <c r="C80" s="268" t="s">
        <v>108</v>
      </c>
      <c r="D80" s="268" t="s">
        <v>109</v>
      </c>
      <c r="E80" s="268" t="s">
        <v>110</v>
      </c>
      <c r="F80" s="268" t="s">
        <v>111</v>
      </c>
      <c r="G80" s="269" t="s">
        <v>112</v>
      </c>
    </row>
    <row r="81" spans="1:7" x14ac:dyDescent="0.25">
      <c r="A81" s="384"/>
      <c r="B81" s="266" t="s">
        <v>42</v>
      </c>
      <c r="C81" s="121">
        <f t="shared" ref="C81:C90" si="12">D81+E81</f>
        <v>0</v>
      </c>
      <c r="D81" s="121"/>
      <c r="E81" s="121"/>
      <c r="F81" s="258"/>
      <c r="G81" s="264" t="e">
        <f t="shared" ref="G81:G90" si="13">(D81)/(D81+E81+F81)</f>
        <v>#DIV/0!</v>
      </c>
    </row>
    <row r="82" spans="1:7" x14ac:dyDescent="0.25">
      <c r="A82" s="384"/>
      <c r="B82" s="248" t="s">
        <v>43</v>
      </c>
      <c r="C82" s="255">
        <f t="shared" si="12"/>
        <v>0</v>
      </c>
      <c r="D82" s="255"/>
      <c r="E82" s="255"/>
      <c r="F82" s="257"/>
      <c r="G82" s="263" t="e">
        <f t="shared" si="13"/>
        <v>#DIV/0!</v>
      </c>
    </row>
    <row r="83" spans="1:7" x14ac:dyDescent="0.25">
      <c r="A83" s="384"/>
      <c r="B83" s="248" t="s">
        <v>44</v>
      </c>
      <c r="C83" s="255">
        <f t="shared" si="12"/>
        <v>0</v>
      </c>
      <c r="D83" s="255"/>
      <c r="E83" s="255"/>
      <c r="F83" s="255"/>
      <c r="G83" s="263" t="e">
        <f t="shared" si="13"/>
        <v>#DIV/0!</v>
      </c>
    </row>
    <row r="84" spans="1:7" x14ac:dyDescent="0.25">
      <c r="A84" s="384"/>
      <c r="B84" s="248" t="s">
        <v>47</v>
      </c>
      <c r="C84" s="255">
        <f t="shared" si="12"/>
        <v>0</v>
      </c>
      <c r="D84" s="255"/>
      <c r="E84" s="255"/>
      <c r="F84" s="255"/>
      <c r="G84" s="263" t="e">
        <f t="shared" si="13"/>
        <v>#DIV/0!</v>
      </c>
    </row>
    <row r="85" spans="1:7" x14ac:dyDescent="0.25">
      <c r="A85" s="384"/>
      <c r="B85" s="248" t="s">
        <v>85</v>
      </c>
      <c r="C85" s="255">
        <f t="shared" si="12"/>
        <v>0</v>
      </c>
      <c r="D85" s="255"/>
      <c r="E85" s="255"/>
      <c r="F85" s="255"/>
      <c r="G85" s="263" t="e">
        <f t="shared" si="13"/>
        <v>#DIV/0!</v>
      </c>
    </row>
    <row r="86" spans="1:7" x14ac:dyDescent="0.25">
      <c r="A86" s="384"/>
      <c r="B86" s="248" t="s">
        <v>87</v>
      </c>
      <c r="C86" s="255">
        <f t="shared" si="12"/>
        <v>0</v>
      </c>
      <c r="D86" s="255"/>
      <c r="E86" s="255"/>
      <c r="F86" s="255"/>
      <c r="G86" s="263" t="e">
        <f t="shared" si="13"/>
        <v>#DIV/0!</v>
      </c>
    </row>
    <row r="87" spans="1:7" x14ac:dyDescent="0.25">
      <c r="A87" s="384"/>
      <c r="B87" s="249" t="s">
        <v>199</v>
      </c>
      <c r="C87" s="255">
        <f t="shared" si="12"/>
        <v>0</v>
      </c>
      <c r="D87" s="255"/>
      <c r="E87" s="255"/>
      <c r="F87" s="255"/>
      <c r="G87" s="263" t="e">
        <f t="shared" si="13"/>
        <v>#DIV/0!</v>
      </c>
    </row>
    <row r="88" spans="1:7" x14ac:dyDescent="0.25">
      <c r="A88" s="384"/>
      <c r="B88" s="249" t="s">
        <v>49</v>
      </c>
      <c r="C88" s="255">
        <f t="shared" si="12"/>
        <v>0</v>
      </c>
      <c r="D88" s="255"/>
      <c r="E88" s="255"/>
      <c r="F88" s="255"/>
      <c r="G88" s="263" t="e">
        <f t="shared" si="13"/>
        <v>#DIV/0!</v>
      </c>
    </row>
    <row r="89" spans="1:7" x14ac:dyDescent="0.25">
      <c r="A89" s="384"/>
      <c r="B89" s="249" t="s">
        <v>48</v>
      </c>
      <c r="C89" s="255">
        <f t="shared" si="12"/>
        <v>0</v>
      </c>
      <c r="D89" s="255"/>
      <c r="E89" s="255"/>
      <c r="F89" s="255"/>
      <c r="G89" s="263" t="e">
        <f t="shared" si="13"/>
        <v>#DIV/0!</v>
      </c>
    </row>
    <row r="90" spans="1:7" ht="15.75" thickBot="1" x14ac:dyDescent="0.3">
      <c r="A90" s="384"/>
      <c r="B90" s="261" t="s">
        <v>50</v>
      </c>
      <c r="C90" s="255">
        <f t="shared" si="12"/>
        <v>0</v>
      </c>
      <c r="D90" s="121"/>
      <c r="E90" s="121"/>
      <c r="F90" s="258"/>
      <c r="G90" s="264" t="e">
        <f t="shared" si="13"/>
        <v>#DIV/0!</v>
      </c>
    </row>
    <row r="91" spans="1:7" ht="16.5" thickTop="1" thickBot="1" x14ac:dyDescent="0.3">
      <c r="A91" s="385"/>
      <c r="B91" s="262" t="s">
        <v>53</v>
      </c>
      <c r="C91" s="260">
        <f>SUM(C81:C90)</f>
        <v>0</v>
      </c>
      <c r="D91" s="260">
        <f>SUM(D81:D90)</f>
        <v>0</v>
      </c>
      <c r="E91" s="260">
        <f>SUM(E81:E90)</f>
        <v>0</v>
      </c>
      <c r="F91" s="260">
        <f>SUM(F81:F90)</f>
        <v>0</v>
      </c>
      <c r="G91" s="265"/>
    </row>
    <row r="92" spans="1:7" ht="15.75" thickBot="1" x14ac:dyDescent="0.3"/>
    <row r="93" spans="1:7" ht="15.75" thickBot="1" x14ac:dyDescent="0.3">
      <c r="A93" s="383" t="s">
        <v>103</v>
      </c>
      <c r="B93" s="267" t="s">
        <v>198</v>
      </c>
      <c r="C93" s="268" t="s">
        <v>108</v>
      </c>
      <c r="D93" s="268" t="s">
        <v>109</v>
      </c>
      <c r="E93" s="268" t="s">
        <v>110</v>
      </c>
      <c r="F93" s="268" t="s">
        <v>111</v>
      </c>
      <c r="G93" s="269" t="s">
        <v>112</v>
      </c>
    </row>
    <row r="94" spans="1:7" x14ac:dyDescent="0.25">
      <c r="A94" s="384"/>
      <c r="B94" s="266" t="s">
        <v>42</v>
      </c>
      <c r="C94" s="121">
        <f t="shared" ref="C94:C103" si="14">D94+E94</f>
        <v>0</v>
      </c>
      <c r="D94" s="121"/>
      <c r="E94" s="121"/>
      <c r="F94" s="258"/>
      <c r="G94" s="264" t="e">
        <f t="shared" ref="G94:G103" si="15">(D94)/(D94+E94+F94)</f>
        <v>#DIV/0!</v>
      </c>
    </row>
    <row r="95" spans="1:7" x14ac:dyDescent="0.25">
      <c r="A95" s="384"/>
      <c r="B95" s="248" t="s">
        <v>43</v>
      </c>
      <c r="C95" s="255">
        <f t="shared" si="14"/>
        <v>0</v>
      </c>
      <c r="D95" s="255"/>
      <c r="E95" s="255"/>
      <c r="F95" s="257"/>
      <c r="G95" s="263" t="e">
        <f t="shared" si="15"/>
        <v>#DIV/0!</v>
      </c>
    </row>
    <row r="96" spans="1:7" x14ac:dyDescent="0.25">
      <c r="A96" s="384"/>
      <c r="B96" s="248" t="s">
        <v>44</v>
      </c>
      <c r="C96" s="255">
        <f t="shared" si="14"/>
        <v>0</v>
      </c>
      <c r="D96" s="255"/>
      <c r="E96" s="255"/>
      <c r="F96" s="255"/>
      <c r="G96" s="263" t="e">
        <f t="shared" si="15"/>
        <v>#DIV/0!</v>
      </c>
    </row>
    <row r="97" spans="1:7" x14ac:dyDescent="0.25">
      <c r="A97" s="384"/>
      <c r="B97" s="248" t="s">
        <v>47</v>
      </c>
      <c r="C97" s="255">
        <f t="shared" si="14"/>
        <v>0</v>
      </c>
      <c r="D97" s="255"/>
      <c r="E97" s="255"/>
      <c r="F97" s="255"/>
      <c r="G97" s="263" t="e">
        <f t="shared" si="15"/>
        <v>#DIV/0!</v>
      </c>
    </row>
    <row r="98" spans="1:7" x14ac:dyDescent="0.25">
      <c r="A98" s="384"/>
      <c r="B98" s="248" t="s">
        <v>85</v>
      </c>
      <c r="C98" s="255">
        <f t="shared" si="14"/>
        <v>0</v>
      </c>
      <c r="D98" s="255"/>
      <c r="E98" s="255"/>
      <c r="F98" s="255"/>
      <c r="G98" s="263" t="e">
        <f t="shared" si="15"/>
        <v>#DIV/0!</v>
      </c>
    </row>
    <row r="99" spans="1:7" x14ac:dyDescent="0.25">
      <c r="A99" s="384"/>
      <c r="B99" s="248" t="s">
        <v>87</v>
      </c>
      <c r="C99" s="255">
        <f t="shared" si="14"/>
        <v>0</v>
      </c>
      <c r="D99" s="255"/>
      <c r="E99" s="255"/>
      <c r="F99" s="255"/>
      <c r="G99" s="263" t="e">
        <f t="shared" si="15"/>
        <v>#DIV/0!</v>
      </c>
    </row>
    <row r="100" spans="1:7" x14ac:dyDescent="0.25">
      <c r="A100" s="384"/>
      <c r="B100" s="249" t="s">
        <v>199</v>
      </c>
      <c r="C100" s="255">
        <f t="shared" si="14"/>
        <v>0</v>
      </c>
      <c r="D100" s="255"/>
      <c r="E100" s="255"/>
      <c r="F100" s="255"/>
      <c r="G100" s="263" t="e">
        <f t="shared" si="15"/>
        <v>#DIV/0!</v>
      </c>
    </row>
    <row r="101" spans="1:7" x14ac:dyDescent="0.25">
      <c r="A101" s="384"/>
      <c r="B101" s="249" t="s">
        <v>49</v>
      </c>
      <c r="C101" s="255">
        <f t="shared" si="14"/>
        <v>0</v>
      </c>
      <c r="D101" s="255"/>
      <c r="E101" s="255"/>
      <c r="F101" s="255"/>
      <c r="G101" s="263" t="e">
        <f t="shared" si="15"/>
        <v>#DIV/0!</v>
      </c>
    </row>
    <row r="102" spans="1:7" x14ac:dyDescent="0.25">
      <c r="A102" s="384"/>
      <c r="B102" s="249" t="s">
        <v>48</v>
      </c>
      <c r="C102" s="255">
        <f t="shared" si="14"/>
        <v>0</v>
      </c>
      <c r="D102" s="255"/>
      <c r="E102" s="255"/>
      <c r="F102" s="255"/>
      <c r="G102" s="263" t="e">
        <f t="shared" si="15"/>
        <v>#DIV/0!</v>
      </c>
    </row>
    <row r="103" spans="1:7" ht="15.75" thickBot="1" x14ac:dyDescent="0.3">
      <c r="A103" s="384"/>
      <c r="B103" s="261" t="s">
        <v>50</v>
      </c>
      <c r="C103" s="255">
        <f t="shared" si="14"/>
        <v>0</v>
      </c>
      <c r="D103" s="121"/>
      <c r="E103" s="121"/>
      <c r="F103" s="258"/>
      <c r="G103" s="264" t="e">
        <f t="shared" si="15"/>
        <v>#DIV/0!</v>
      </c>
    </row>
    <row r="104" spans="1:7" ht="16.5" thickTop="1" thickBot="1" x14ac:dyDescent="0.3">
      <c r="A104" s="385"/>
      <c r="B104" s="262" t="s">
        <v>53</v>
      </c>
      <c r="C104" s="260">
        <f>SUM(C94:C103)</f>
        <v>0</v>
      </c>
      <c r="D104" s="260">
        <f>SUM(D94:D103)</f>
        <v>0</v>
      </c>
      <c r="E104" s="260">
        <f>SUM(E94:E103)</f>
        <v>0</v>
      </c>
      <c r="F104" s="260">
        <f>SUM(F94:F103)</f>
        <v>0</v>
      </c>
      <c r="G104" s="265"/>
    </row>
    <row r="105" spans="1:7" ht="15.75" thickBot="1" x14ac:dyDescent="0.3"/>
    <row r="106" spans="1:7" ht="15.75" thickBot="1" x14ac:dyDescent="0.3">
      <c r="A106" s="383" t="s">
        <v>104</v>
      </c>
      <c r="B106" s="267" t="s">
        <v>198</v>
      </c>
      <c r="C106" s="268" t="s">
        <v>108</v>
      </c>
      <c r="D106" s="268" t="s">
        <v>109</v>
      </c>
      <c r="E106" s="268" t="s">
        <v>110</v>
      </c>
      <c r="F106" s="268" t="s">
        <v>111</v>
      </c>
      <c r="G106" s="269" t="s">
        <v>112</v>
      </c>
    </row>
    <row r="107" spans="1:7" x14ac:dyDescent="0.25">
      <c r="A107" s="384"/>
      <c r="B107" s="266" t="s">
        <v>42</v>
      </c>
      <c r="C107" s="121">
        <f t="shared" ref="C107:C116" si="16">D107+E107</f>
        <v>0</v>
      </c>
      <c r="D107" s="121"/>
      <c r="E107" s="121"/>
      <c r="F107" s="258"/>
      <c r="G107" s="264" t="e">
        <f t="shared" ref="G107:G116" si="17">(D107)/(D107+E107+F107)</f>
        <v>#DIV/0!</v>
      </c>
    </row>
    <row r="108" spans="1:7" x14ac:dyDescent="0.25">
      <c r="A108" s="384"/>
      <c r="B108" s="248" t="s">
        <v>43</v>
      </c>
      <c r="C108" s="255">
        <f t="shared" si="16"/>
        <v>0</v>
      </c>
      <c r="D108" s="255"/>
      <c r="E108" s="255"/>
      <c r="F108" s="257"/>
      <c r="G108" s="263" t="e">
        <f t="shared" si="17"/>
        <v>#DIV/0!</v>
      </c>
    </row>
    <row r="109" spans="1:7" x14ac:dyDescent="0.25">
      <c r="A109" s="384"/>
      <c r="B109" s="248" t="s">
        <v>44</v>
      </c>
      <c r="C109" s="255">
        <f t="shared" si="16"/>
        <v>0</v>
      </c>
      <c r="D109" s="255"/>
      <c r="E109" s="255"/>
      <c r="F109" s="255"/>
      <c r="G109" s="263" t="e">
        <f t="shared" si="17"/>
        <v>#DIV/0!</v>
      </c>
    </row>
    <row r="110" spans="1:7" x14ac:dyDescent="0.25">
      <c r="A110" s="384"/>
      <c r="B110" s="248" t="s">
        <v>47</v>
      </c>
      <c r="C110" s="255">
        <f t="shared" si="16"/>
        <v>0</v>
      </c>
      <c r="D110" s="255"/>
      <c r="E110" s="255"/>
      <c r="F110" s="255"/>
      <c r="G110" s="263" t="e">
        <f t="shared" si="17"/>
        <v>#DIV/0!</v>
      </c>
    </row>
    <row r="111" spans="1:7" x14ac:dyDescent="0.25">
      <c r="A111" s="384"/>
      <c r="B111" s="248" t="s">
        <v>85</v>
      </c>
      <c r="C111" s="255">
        <f t="shared" si="16"/>
        <v>0</v>
      </c>
      <c r="D111" s="255"/>
      <c r="E111" s="255"/>
      <c r="F111" s="255"/>
      <c r="G111" s="263" t="e">
        <f t="shared" si="17"/>
        <v>#DIV/0!</v>
      </c>
    </row>
    <row r="112" spans="1:7" x14ac:dyDescent="0.25">
      <c r="A112" s="384"/>
      <c r="B112" s="248" t="s">
        <v>87</v>
      </c>
      <c r="C112" s="255">
        <f t="shared" si="16"/>
        <v>0</v>
      </c>
      <c r="D112" s="255"/>
      <c r="E112" s="255"/>
      <c r="F112" s="255"/>
      <c r="G112" s="263" t="e">
        <f t="shared" si="17"/>
        <v>#DIV/0!</v>
      </c>
    </row>
    <row r="113" spans="1:7" x14ac:dyDescent="0.25">
      <c r="A113" s="384"/>
      <c r="B113" s="249" t="s">
        <v>199</v>
      </c>
      <c r="C113" s="255">
        <f t="shared" si="16"/>
        <v>0</v>
      </c>
      <c r="D113" s="255"/>
      <c r="E113" s="255"/>
      <c r="F113" s="255"/>
      <c r="G113" s="263" t="e">
        <f t="shared" si="17"/>
        <v>#DIV/0!</v>
      </c>
    </row>
    <row r="114" spans="1:7" x14ac:dyDescent="0.25">
      <c r="A114" s="384"/>
      <c r="B114" s="249" t="s">
        <v>49</v>
      </c>
      <c r="C114" s="255">
        <f t="shared" si="16"/>
        <v>0</v>
      </c>
      <c r="D114" s="255"/>
      <c r="E114" s="255"/>
      <c r="F114" s="255"/>
      <c r="G114" s="263" t="e">
        <f t="shared" si="17"/>
        <v>#DIV/0!</v>
      </c>
    </row>
    <row r="115" spans="1:7" x14ac:dyDescent="0.25">
      <c r="A115" s="384"/>
      <c r="B115" s="249" t="s">
        <v>48</v>
      </c>
      <c r="C115" s="255">
        <f t="shared" si="16"/>
        <v>0</v>
      </c>
      <c r="D115" s="255"/>
      <c r="E115" s="255"/>
      <c r="F115" s="255"/>
      <c r="G115" s="263" t="e">
        <f t="shared" si="17"/>
        <v>#DIV/0!</v>
      </c>
    </row>
    <row r="116" spans="1:7" ht="15.75" thickBot="1" x14ac:dyDescent="0.3">
      <c r="A116" s="384"/>
      <c r="B116" s="261" t="s">
        <v>50</v>
      </c>
      <c r="C116" s="255">
        <f t="shared" si="16"/>
        <v>0</v>
      </c>
      <c r="D116" s="121"/>
      <c r="E116" s="121"/>
      <c r="F116" s="258"/>
      <c r="G116" s="264" t="e">
        <f t="shared" si="17"/>
        <v>#DIV/0!</v>
      </c>
    </row>
    <row r="117" spans="1:7" ht="16.5" thickTop="1" thickBot="1" x14ac:dyDescent="0.3">
      <c r="A117" s="385"/>
      <c r="B117" s="262" t="s">
        <v>53</v>
      </c>
      <c r="C117" s="260">
        <f>SUM(C107:C116)</f>
        <v>0</v>
      </c>
      <c r="D117" s="260">
        <f>SUM(D107:D116)</f>
        <v>0</v>
      </c>
      <c r="E117" s="260">
        <f>SUM(E107:E116)</f>
        <v>0</v>
      </c>
      <c r="F117" s="260">
        <f>SUM(F107:F116)</f>
        <v>0</v>
      </c>
      <c r="G117" s="265"/>
    </row>
    <row r="118" spans="1:7" ht="15.75" thickBot="1" x14ac:dyDescent="0.3"/>
    <row r="119" spans="1:7" ht="15.75" thickBot="1" x14ac:dyDescent="0.3">
      <c r="A119" s="383" t="s">
        <v>105</v>
      </c>
      <c r="B119" s="267" t="s">
        <v>198</v>
      </c>
      <c r="C119" s="268" t="s">
        <v>108</v>
      </c>
      <c r="D119" s="268" t="s">
        <v>109</v>
      </c>
      <c r="E119" s="268" t="s">
        <v>110</v>
      </c>
      <c r="F119" s="268" t="s">
        <v>111</v>
      </c>
      <c r="G119" s="269" t="s">
        <v>112</v>
      </c>
    </row>
    <row r="120" spans="1:7" x14ac:dyDescent="0.25">
      <c r="A120" s="384"/>
      <c r="B120" s="266" t="s">
        <v>42</v>
      </c>
      <c r="C120" s="121">
        <f t="shared" ref="C120:C129" si="18">D120+E120</f>
        <v>0</v>
      </c>
      <c r="D120" s="121"/>
      <c r="E120" s="121"/>
      <c r="F120" s="258"/>
      <c r="G120" s="264" t="e">
        <f t="shared" ref="G120:G129" si="19">(D120)/(D120+E120+F120)</f>
        <v>#DIV/0!</v>
      </c>
    </row>
    <row r="121" spans="1:7" x14ac:dyDescent="0.25">
      <c r="A121" s="384"/>
      <c r="B121" s="248" t="s">
        <v>43</v>
      </c>
      <c r="C121" s="255">
        <f t="shared" si="18"/>
        <v>0</v>
      </c>
      <c r="D121" s="255"/>
      <c r="E121" s="255"/>
      <c r="F121" s="257"/>
      <c r="G121" s="263" t="e">
        <f t="shared" si="19"/>
        <v>#DIV/0!</v>
      </c>
    </row>
    <row r="122" spans="1:7" x14ac:dyDescent="0.25">
      <c r="A122" s="384"/>
      <c r="B122" s="248" t="s">
        <v>44</v>
      </c>
      <c r="C122" s="255">
        <f t="shared" si="18"/>
        <v>0</v>
      </c>
      <c r="D122" s="255"/>
      <c r="E122" s="255"/>
      <c r="F122" s="255"/>
      <c r="G122" s="263" t="e">
        <f t="shared" si="19"/>
        <v>#DIV/0!</v>
      </c>
    </row>
    <row r="123" spans="1:7" x14ac:dyDescent="0.25">
      <c r="A123" s="384"/>
      <c r="B123" s="248" t="s">
        <v>47</v>
      </c>
      <c r="C123" s="255">
        <f t="shared" si="18"/>
        <v>0</v>
      </c>
      <c r="D123" s="255"/>
      <c r="E123" s="255"/>
      <c r="F123" s="255"/>
      <c r="G123" s="263" t="e">
        <f t="shared" si="19"/>
        <v>#DIV/0!</v>
      </c>
    </row>
    <row r="124" spans="1:7" x14ac:dyDescent="0.25">
      <c r="A124" s="384"/>
      <c r="B124" s="248" t="s">
        <v>85</v>
      </c>
      <c r="C124" s="255">
        <f t="shared" si="18"/>
        <v>0</v>
      </c>
      <c r="D124" s="255"/>
      <c r="E124" s="255"/>
      <c r="F124" s="255"/>
      <c r="G124" s="263" t="e">
        <f t="shared" si="19"/>
        <v>#DIV/0!</v>
      </c>
    </row>
    <row r="125" spans="1:7" x14ac:dyDescent="0.25">
      <c r="A125" s="384"/>
      <c r="B125" s="248" t="s">
        <v>87</v>
      </c>
      <c r="C125" s="255">
        <f t="shared" si="18"/>
        <v>0</v>
      </c>
      <c r="D125" s="255"/>
      <c r="E125" s="255"/>
      <c r="F125" s="255"/>
      <c r="G125" s="263" t="e">
        <f t="shared" si="19"/>
        <v>#DIV/0!</v>
      </c>
    </row>
    <row r="126" spans="1:7" x14ac:dyDescent="0.25">
      <c r="A126" s="384"/>
      <c r="B126" s="249" t="s">
        <v>199</v>
      </c>
      <c r="C126" s="255">
        <f t="shared" si="18"/>
        <v>0</v>
      </c>
      <c r="D126" s="255"/>
      <c r="E126" s="255"/>
      <c r="F126" s="255"/>
      <c r="G126" s="263" t="e">
        <f t="shared" si="19"/>
        <v>#DIV/0!</v>
      </c>
    </row>
    <row r="127" spans="1:7" x14ac:dyDescent="0.25">
      <c r="A127" s="384"/>
      <c r="B127" s="249" t="s">
        <v>49</v>
      </c>
      <c r="C127" s="255">
        <f t="shared" si="18"/>
        <v>0</v>
      </c>
      <c r="D127" s="255"/>
      <c r="E127" s="255"/>
      <c r="F127" s="255"/>
      <c r="G127" s="263" t="e">
        <f t="shared" si="19"/>
        <v>#DIV/0!</v>
      </c>
    </row>
    <row r="128" spans="1:7" x14ac:dyDescent="0.25">
      <c r="A128" s="384"/>
      <c r="B128" s="249" t="s">
        <v>48</v>
      </c>
      <c r="C128" s="255">
        <f t="shared" si="18"/>
        <v>0</v>
      </c>
      <c r="D128" s="255"/>
      <c r="E128" s="255"/>
      <c r="F128" s="255"/>
      <c r="G128" s="263" t="e">
        <f t="shared" si="19"/>
        <v>#DIV/0!</v>
      </c>
    </row>
    <row r="129" spans="1:7" ht="15.75" thickBot="1" x14ac:dyDescent="0.3">
      <c r="A129" s="384"/>
      <c r="B129" s="261" t="s">
        <v>50</v>
      </c>
      <c r="C129" s="255">
        <f t="shared" si="18"/>
        <v>0</v>
      </c>
      <c r="D129" s="121"/>
      <c r="E129" s="121"/>
      <c r="F129" s="258"/>
      <c r="G129" s="264" t="e">
        <f t="shared" si="19"/>
        <v>#DIV/0!</v>
      </c>
    </row>
    <row r="130" spans="1:7" ht="16.5" thickTop="1" thickBot="1" x14ac:dyDescent="0.3">
      <c r="A130" s="385"/>
      <c r="B130" s="262" t="s">
        <v>53</v>
      </c>
      <c r="C130" s="260">
        <f>SUM(C120:C129)</f>
        <v>0</v>
      </c>
      <c r="D130" s="260">
        <f>SUM(D120:D129)</f>
        <v>0</v>
      </c>
      <c r="E130" s="260">
        <f>SUM(E120:E129)</f>
        <v>0</v>
      </c>
      <c r="F130" s="260">
        <f>SUM(F120:F129)</f>
        <v>0</v>
      </c>
      <c r="G130" s="265"/>
    </row>
    <row r="131" spans="1:7" ht="15.75" thickBot="1" x14ac:dyDescent="0.3"/>
    <row r="132" spans="1:7" ht="15.75" thickBot="1" x14ac:dyDescent="0.3">
      <c r="A132" s="383" t="s">
        <v>106</v>
      </c>
      <c r="B132" s="267" t="s">
        <v>198</v>
      </c>
      <c r="C132" s="268" t="s">
        <v>108</v>
      </c>
      <c r="D132" s="268" t="s">
        <v>109</v>
      </c>
      <c r="E132" s="268" t="s">
        <v>110</v>
      </c>
      <c r="F132" s="268" t="s">
        <v>111</v>
      </c>
      <c r="G132" s="269" t="s">
        <v>112</v>
      </c>
    </row>
    <row r="133" spans="1:7" x14ac:dyDescent="0.25">
      <c r="A133" s="384"/>
      <c r="B133" s="266" t="s">
        <v>42</v>
      </c>
      <c r="C133" s="121">
        <f t="shared" ref="C133:C142" si="20">D133+E133</f>
        <v>0</v>
      </c>
      <c r="D133" s="121"/>
      <c r="E133" s="121"/>
      <c r="F133" s="258"/>
      <c r="G133" s="264" t="e">
        <f t="shared" ref="G133:G142" si="21">(D133)/(D133+E133+F133)</f>
        <v>#DIV/0!</v>
      </c>
    </row>
    <row r="134" spans="1:7" x14ac:dyDescent="0.25">
      <c r="A134" s="384"/>
      <c r="B134" s="248" t="s">
        <v>43</v>
      </c>
      <c r="C134" s="255">
        <f t="shared" si="20"/>
        <v>0</v>
      </c>
      <c r="D134" s="255"/>
      <c r="E134" s="255"/>
      <c r="F134" s="257"/>
      <c r="G134" s="263" t="e">
        <f t="shared" si="21"/>
        <v>#DIV/0!</v>
      </c>
    </row>
    <row r="135" spans="1:7" x14ac:dyDescent="0.25">
      <c r="A135" s="384"/>
      <c r="B135" s="248" t="s">
        <v>44</v>
      </c>
      <c r="C135" s="255">
        <f t="shared" si="20"/>
        <v>0</v>
      </c>
      <c r="D135" s="255"/>
      <c r="E135" s="255"/>
      <c r="F135" s="255"/>
      <c r="G135" s="263" t="e">
        <f t="shared" si="21"/>
        <v>#DIV/0!</v>
      </c>
    </row>
    <row r="136" spans="1:7" x14ac:dyDescent="0.25">
      <c r="A136" s="384"/>
      <c r="B136" s="248" t="s">
        <v>47</v>
      </c>
      <c r="C136" s="255">
        <f t="shared" si="20"/>
        <v>0</v>
      </c>
      <c r="D136" s="255"/>
      <c r="E136" s="255"/>
      <c r="F136" s="255"/>
      <c r="G136" s="263" t="e">
        <f t="shared" si="21"/>
        <v>#DIV/0!</v>
      </c>
    </row>
    <row r="137" spans="1:7" x14ac:dyDescent="0.25">
      <c r="A137" s="384"/>
      <c r="B137" s="248" t="s">
        <v>85</v>
      </c>
      <c r="C137" s="255">
        <f t="shared" si="20"/>
        <v>0</v>
      </c>
      <c r="D137" s="255"/>
      <c r="E137" s="255"/>
      <c r="F137" s="255"/>
      <c r="G137" s="263" t="e">
        <f t="shared" si="21"/>
        <v>#DIV/0!</v>
      </c>
    </row>
    <row r="138" spans="1:7" x14ac:dyDescent="0.25">
      <c r="A138" s="384"/>
      <c r="B138" s="248" t="s">
        <v>87</v>
      </c>
      <c r="C138" s="255">
        <f t="shared" si="20"/>
        <v>0</v>
      </c>
      <c r="D138" s="255"/>
      <c r="E138" s="255"/>
      <c r="F138" s="255"/>
      <c r="G138" s="263" t="e">
        <f t="shared" si="21"/>
        <v>#DIV/0!</v>
      </c>
    </row>
    <row r="139" spans="1:7" x14ac:dyDescent="0.25">
      <c r="A139" s="384"/>
      <c r="B139" s="249" t="s">
        <v>199</v>
      </c>
      <c r="C139" s="255">
        <f t="shared" si="20"/>
        <v>0</v>
      </c>
      <c r="D139" s="255"/>
      <c r="E139" s="255"/>
      <c r="F139" s="255"/>
      <c r="G139" s="263" t="e">
        <f t="shared" si="21"/>
        <v>#DIV/0!</v>
      </c>
    </row>
    <row r="140" spans="1:7" x14ac:dyDescent="0.25">
      <c r="A140" s="384"/>
      <c r="B140" s="249" t="s">
        <v>49</v>
      </c>
      <c r="C140" s="255">
        <f t="shared" si="20"/>
        <v>0</v>
      </c>
      <c r="D140" s="255"/>
      <c r="E140" s="255"/>
      <c r="F140" s="255"/>
      <c r="G140" s="263" t="e">
        <f t="shared" si="21"/>
        <v>#DIV/0!</v>
      </c>
    </row>
    <row r="141" spans="1:7" x14ac:dyDescent="0.25">
      <c r="A141" s="384"/>
      <c r="B141" s="249" t="s">
        <v>48</v>
      </c>
      <c r="C141" s="255">
        <f t="shared" si="20"/>
        <v>0</v>
      </c>
      <c r="D141" s="255"/>
      <c r="E141" s="255"/>
      <c r="F141" s="255"/>
      <c r="G141" s="263" t="e">
        <f t="shared" si="21"/>
        <v>#DIV/0!</v>
      </c>
    </row>
    <row r="142" spans="1:7" ht="15.75" thickBot="1" x14ac:dyDescent="0.3">
      <c r="A142" s="384"/>
      <c r="B142" s="261" t="s">
        <v>50</v>
      </c>
      <c r="C142" s="255">
        <f t="shared" si="20"/>
        <v>0</v>
      </c>
      <c r="D142" s="121"/>
      <c r="E142" s="121"/>
      <c r="F142" s="258"/>
      <c r="G142" s="264" t="e">
        <f t="shared" si="21"/>
        <v>#DIV/0!</v>
      </c>
    </row>
    <row r="143" spans="1:7" ht="16.5" thickTop="1" thickBot="1" x14ac:dyDescent="0.3">
      <c r="A143" s="385"/>
      <c r="B143" s="262" t="s">
        <v>53</v>
      </c>
      <c r="C143" s="260">
        <f>SUM(C133:C142)</f>
        <v>0</v>
      </c>
      <c r="D143" s="260">
        <f>SUM(D133:D142)</f>
        <v>0</v>
      </c>
      <c r="E143" s="260">
        <f>SUM(E133:E142)</f>
        <v>0</v>
      </c>
      <c r="F143" s="260">
        <f>SUM(F133:F142)</f>
        <v>0</v>
      </c>
      <c r="G143" s="265"/>
    </row>
    <row r="144" spans="1:7" ht="15.75" thickBot="1" x14ac:dyDescent="0.3"/>
    <row r="145" spans="1:7" ht="15.75" thickBot="1" x14ac:dyDescent="0.3">
      <c r="A145" s="383" t="s">
        <v>107</v>
      </c>
      <c r="B145" s="267" t="s">
        <v>198</v>
      </c>
      <c r="C145" s="268" t="s">
        <v>108</v>
      </c>
      <c r="D145" s="268" t="s">
        <v>109</v>
      </c>
      <c r="E145" s="268" t="s">
        <v>110</v>
      </c>
      <c r="F145" s="268" t="s">
        <v>111</v>
      </c>
      <c r="G145" s="269" t="s">
        <v>112</v>
      </c>
    </row>
    <row r="146" spans="1:7" x14ac:dyDescent="0.25">
      <c r="A146" s="384"/>
      <c r="B146" s="266" t="s">
        <v>42</v>
      </c>
      <c r="C146" s="121">
        <f t="shared" ref="C146:C155" si="22">D146+E146</f>
        <v>0</v>
      </c>
      <c r="D146" s="121"/>
      <c r="E146" s="121"/>
      <c r="F146" s="258"/>
      <c r="G146" s="264" t="e">
        <f t="shared" ref="G146:G155" si="23">(D146)/(D146+E146+F146)</f>
        <v>#DIV/0!</v>
      </c>
    </row>
    <row r="147" spans="1:7" x14ac:dyDescent="0.25">
      <c r="A147" s="384"/>
      <c r="B147" s="248" t="s">
        <v>43</v>
      </c>
      <c r="C147" s="255">
        <f t="shared" si="22"/>
        <v>0</v>
      </c>
      <c r="D147" s="255"/>
      <c r="E147" s="255"/>
      <c r="F147" s="257"/>
      <c r="G147" s="263" t="e">
        <f t="shared" si="23"/>
        <v>#DIV/0!</v>
      </c>
    </row>
    <row r="148" spans="1:7" x14ac:dyDescent="0.25">
      <c r="A148" s="384"/>
      <c r="B148" s="248" t="s">
        <v>44</v>
      </c>
      <c r="C148" s="255">
        <f t="shared" si="22"/>
        <v>0</v>
      </c>
      <c r="D148" s="255"/>
      <c r="E148" s="255"/>
      <c r="F148" s="255"/>
      <c r="G148" s="263" t="e">
        <f t="shared" si="23"/>
        <v>#DIV/0!</v>
      </c>
    </row>
    <row r="149" spans="1:7" x14ac:dyDescent="0.25">
      <c r="A149" s="384"/>
      <c r="B149" s="248" t="s">
        <v>47</v>
      </c>
      <c r="C149" s="255">
        <f t="shared" si="22"/>
        <v>0</v>
      </c>
      <c r="D149" s="255"/>
      <c r="E149" s="255"/>
      <c r="F149" s="255"/>
      <c r="G149" s="263" t="e">
        <f t="shared" si="23"/>
        <v>#DIV/0!</v>
      </c>
    </row>
    <row r="150" spans="1:7" x14ac:dyDescent="0.25">
      <c r="A150" s="384"/>
      <c r="B150" s="248" t="s">
        <v>85</v>
      </c>
      <c r="C150" s="255">
        <f t="shared" si="22"/>
        <v>0</v>
      </c>
      <c r="D150" s="255"/>
      <c r="E150" s="255"/>
      <c r="F150" s="255"/>
      <c r="G150" s="263" t="e">
        <f t="shared" si="23"/>
        <v>#DIV/0!</v>
      </c>
    </row>
    <row r="151" spans="1:7" x14ac:dyDescent="0.25">
      <c r="A151" s="384"/>
      <c r="B151" s="248" t="s">
        <v>87</v>
      </c>
      <c r="C151" s="255">
        <f t="shared" si="22"/>
        <v>0</v>
      </c>
      <c r="D151" s="255"/>
      <c r="E151" s="255"/>
      <c r="F151" s="255"/>
      <c r="G151" s="263" t="e">
        <f t="shared" si="23"/>
        <v>#DIV/0!</v>
      </c>
    </row>
    <row r="152" spans="1:7" x14ac:dyDescent="0.25">
      <c r="A152" s="384"/>
      <c r="B152" s="249" t="s">
        <v>199</v>
      </c>
      <c r="C152" s="255">
        <f t="shared" si="22"/>
        <v>0</v>
      </c>
      <c r="D152" s="255"/>
      <c r="E152" s="255"/>
      <c r="F152" s="255"/>
      <c r="G152" s="263" t="e">
        <f t="shared" si="23"/>
        <v>#DIV/0!</v>
      </c>
    </row>
    <row r="153" spans="1:7" x14ac:dyDescent="0.25">
      <c r="A153" s="384"/>
      <c r="B153" s="249" t="s">
        <v>49</v>
      </c>
      <c r="C153" s="255">
        <f t="shared" si="22"/>
        <v>0</v>
      </c>
      <c r="D153" s="255"/>
      <c r="E153" s="255"/>
      <c r="F153" s="255"/>
      <c r="G153" s="263" t="e">
        <f t="shared" si="23"/>
        <v>#DIV/0!</v>
      </c>
    </row>
    <row r="154" spans="1:7" x14ac:dyDescent="0.25">
      <c r="A154" s="384"/>
      <c r="B154" s="249" t="s">
        <v>48</v>
      </c>
      <c r="C154" s="255">
        <f t="shared" si="22"/>
        <v>0</v>
      </c>
      <c r="D154" s="255"/>
      <c r="E154" s="255"/>
      <c r="F154" s="255"/>
      <c r="G154" s="263" t="e">
        <f t="shared" si="23"/>
        <v>#DIV/0!</v>
      </c>
    </row>
    <row r="155" spans="1:7" ht="15.75" thickBot="1" x14ac:dyDescent="0.3">
      <c r="A155" s="384"/>
      <c r="B155" s="261" t="s">
        <v>50</v>
      </c>
      <c r="C155" s="255">
        <f t="shared" si="22"/>
        <v>0</v>
      </c>
      <c r="D155" s="121"/>
      <c r="E155" s="121"/>
      <c r="F155" s="258"/>
      <c r="G155" s="264" t="e">
        <f t="shared" si="23"/>
        <v>#DIV/0!</v>
      </c>
    </row>
    <row r="156" spans="1:7" ht="16.5" thickTop="1" thickBot="1" x14ac:dyDescent="0.3">
      <c r="A156" s="385"/>
      <c r="B156" s="262" t="s">
        <v>53</v>
      </c>
      <c r="C156" s="260">
        <f>SUM(C146:C155)</f>
        <v>0</v>
      </c>
      <c r="D156" s="260">
        <f>SUM(D146:D155)</f>
        <v>0</v>
      </c>
      <c r="E156" s="260">
        <f>SUM(E146:E155)</f>
        <v>0</v>
      </c>
      <c r="F156" s="260">
        <f>SUM(F146:F155)</f>
        <v>0</v>
      </c>
      <c r="G156" s="265"/>
    </row>
  </sheetData>
  <mergeCells count="13">
    <mergeCell ref="A119:A130"/>
    <mergeCell ref="A132:A143"/>
    <mergeCell ref="A145:A156"/>
    <mergeCell ref="I2:O15"/>
    <mergeCell ref="A67:A78"/>
    <mergeCell ref="A80:A91"/>
    <mergeCell ref="A93:A104"/>
    <mergeCell ref="A106:A117"/>
    <mergeCell ref="A2:A13"/>
    <mergeCell ref="A15:A26"/>
    <mergeCell ref="A28:A39"/>
    <mergeCell ref="A41:A52"/>
    <mergeCell ref="A54:A65"/>
  </mergeCells>
  <pageMargins left="0.7" right="0.7" top="0.75" bottom="0.75" header="0.3" footer="0.3"/>
  <pageSetup orientation="landscape"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F214-C32C-49A0-8F6C-DAEDA9A9D1A1}">
  <sheetPr>
    <tabColor theme="7" tint="0.39997558519241921"/>
  </sheetPr>
  <dimension ref="A1:I157"/>
  <sheetViews>
    <sheetView topLeftCell="A20" zoomScale="120" zoomScaleNormal="120" workbookViewId="0">
      <selection activeCell="E31" sqref="E31"/>
    </sheetView>
  </sheetViews>
  <sheetFormatPr defaultColWidth="8.75" defaultRowHeight="15" x14ac:dyDescent="0.25"/>
  <cols>
    <col min="1" max="1" width="3.875" style="34" customWidth="1"/>
    <col min="2" max="5" width="16.75" style="34" customWidth="1"/>
    <col min="6" max="6" width="8.75" style="34"/>
    <col min="7" max="7" width="9.5" style="34" customWidth="1"/>
    <col min="8" max="16384" width="8.75" style="34"/>
  </cols>
  <sheetData>
    <row r="1" spans="1:9" x14ac:dyDescent="0.25">
      <c r="A1" s="34" t="s">
        <v>114</v>
      </c>
    </row>
    <row r="2" spans="1:9" ht="15.75" thickBot="1" x14ac:dyDescent="0.3"/>
    <row r="3" spans="1:9" ht="14.45" customHeight="1" thickBot="1" x14ac:dyDescent="0.3">
      <c r="A3" s="387" t="s">
        <v>91</v>
      </c>
      <c r="B3" s="277" t="s">
        <v>198</v>
      </c>
      <c r="C3" s="278" t="s">
        <v>115</v>
      </c>
      <c r="D3" s="278" t="s">
        <v>116</v>
      </c>
      <c r="E3" s="279" t="s">
        <v>117</v>
      </c>
      <c r="G3" s="35"/>
      <c r="H3" s="32"/>
      <c r="I3" s="32"/>
    </row>
    <row r="4" spans="1:9" ht="15" customHeight="1" x14ac:dyDescent="0.25">
      <c r="A4" s="388"/>
      <c r="B4" s="266" t="s">
        <v>42</v>
      </c>
      <c r="C4" s="121">
        <v>65.5</v>
      </c>
      <c r="D4" s="121">
        <v>6.4</v>
      </c>
      <c r="E4" s="265">
        <f>C4/(C4+D4)</f>
        <v>0.91098748261474261</v>
      </c>
      <c r="G4" s="32"/>
      <c r="H4" s="39"/>
      <c r="I4" s="39"/>
    </row>
    <row r="5" spans="1:9" ht="15.75" customHeight="1" x14ac:dyDescent="0.25">
      <c r="A5" s="388"/>
      <c r="B5" s="248" t="s">
        <v>43</v>
      </c>
      <c r="C5" s="255">
        <v>38.4</v>
      </c>
      <c r="D5" s="255">
        <v>15</v>
      </c>
      <c r="E5" s="263">
        <f>C5/(C5+D5)</f>
        <v>0.7191011235955056</v>
      </c>
      <c r="G5" s="32"/>
      <c r="H5" s="39"/>
      <c r="I5" s="39"/>
    </row>
    <row r="6" spans="1:9" ht="15.75" customHeight="1" x14ac:dyDescent="0.25">
      <c r="A6" s="388"/>
      <c r="B6" s="248" t="s">
        <v>44</v>
      </c>
      <c r="C6" s="255">
        <v>69.8</v>
      </c>
      <c r="D6" s="255">
        <v>10</v>
      </c>
      <c r="E6" s="263">
        <f t="shared" ref="E6:E8" si="0">C6/(C6+D6)</f>
        <v>0.87468671679197996</v>
      </c>
      <c r="G6" s="32"/>
      <c r="H6" s="39"/>
      <c r="I6" s="39"/>
    </row>
    <row r="7" spans="1:9" ht="15.75" customHeight="1" x14ac:dyDescent="0.25">
      <c r="A7" s="388"/>
      <c r="B7" s="248" t="s">
        <v>47</v>
      </c>
      <c r="C7" s="255">
        <v>87.1</v>
      </c>
      <c r="D7" s="255">
        <v>3.3</v>
      </c>
      <c r="E7" s="263">
        <f t="shared" si="0"/>
        <v>0.96349557522123896</v>
      </c>
      <c r="G7" s="32"/>
      <c r="I7" s="39"/>
    </row>
    <row r="8" spans="1:9" ht="15.75" customHeight="1" x14ac:dyDescent="0.25">
      <c r="A8" s="388"/>
      <c r="B8" s="248" t="s">
        <v>85</v>
      </c>
      <c r="C8" s="255">
        <v>51.3</v>
      </c>
      <c r="D8" s="255">
        <v>15</v>
      </c>
      <c r="E8" s="263">
        <f t="shared" si="0"/>
        <v>0.77375565610859731</v>
      </c>
      <c r="G8" s="32"/>
      <c r="H8" s="39"/>
      <c r="I8" s="39"/>
    </row>
    <row r="9" spans="1:9" ht="15.75" customHeight="1" x14ac:dyDescent="0.25">
      <c r="A9" s="388"/>
      <c r="B9" s="248" t="s">
        <v>87</v>
      </c>
      <c r="C9" s="255">
        <v>66.099999999999994</v>
      </c>
      <c r="D9" s="255">
        <v>13.7</v>
      </c>
      <c r="E9" s="263">
        <f t="shared" ref="E9:E12" si="1">C9/(C9+D9)</f>
        <v>0.82832080200501246</v>
      </c>
      <c r="G9" s="32"/>
      <c r="H9" s="39"/>
      <c r="I9" s="39"/>
    </row>
    <row r="10" spans="1:9" ht="15.75" hidden="1" customHeight="1" x14ac:dyDescent="0.25">
      <c r="A10" s="388"/>
      <c r="B10" s="248" t="s">
        <v>199</v>
      </c>
      <c r="C10" s="255"/>
      <c r="D10" s="255"/>
      <c r="E10" s="263" t="e">
        <f t="shared" si="1"/>
        <v>#DIV/0!</v>
      </c>
      <c r="G10" s="32"/>
      <c r="H10" s="39"/>
      <c r="I10" s="39"/>
    </row>
    <row r="11" spans="1:9" ht="15.75" customHeight="1" x14ac:dyDescent="0.25">
      <c r="A11" s="388"/>
      <c r="B11" s="248" t="s">
        <v>49</v>
      </c>
      <c r="C11" s="255">
        <v>31.3</v>
      </c>
      <c r="D11" s="255">
        <v>37.700000000000003</v>
      </c>
      <c r="E11" s="263">
        <f t="shared" si="1"/>
        <v>0.45362318840579713</v>
      </c>
      <c r="G11" s="32"/>
      <c r="H11" s="39"/>
      <c r="I11" s="39"/>
    </row>
    <row r="12" spans="1:9" ht="15.75" customHeight="1" x14ac:dyDescent="0.25">
      <c r="A12" s="388"/>
      <c r="B12" s="248" t="s">
        <v>48</v>
      </c>
      <c r="C12" s="255">
        <v>61.9</v>
      </c>
      <c r="D12" s="255">
        <v>3.7</v>
      </c>
      <c r="E12" s="263">
        <f t="shared" si="1"/>
        <v>0.94359756097560976</v>
      </c>
      <c r="G12" s="32"/>
      <c r="H12" s="39"/>
      <c r="I12" s="39"/>
    </row>
    <row r="13" spans="1:9" ht="16.5" customHeight="1" thickBot="1" x14ac:dyDescent="0.3">
      <c r="A13" s="388"/>
      <c r="B13" s="261" t="s">
        <v>50</v>
      </c>
      <c r="C13" s="38">
        <v>70.8</v>
      </c>
      <c r="D13" s="38">
        <v>18.3</v>
      </c>
      <c r="E13" s="263">
        <f>C13/(C13+D13)</f>
        <v>0.79461279461279466</v>
      </c>
      <c r="G13" s="32"/>
      <c r="H13" s="39"/>
      <c r="I13" s="39"/>
    </row>
    <row r="14" spans="1:9" ht="17.25" customHeight="1" thickTop="1" thickBot="1" x14ac:dyDescent="0.3">
      <c r="A14" s="389"/>
      <c r="B14" s="262" t="s">
        <v>53</v>
      </c>
      <c r="C14" s="259">
        <f>SUM(C4:C13)</f>
        <v>542.19999999999993</v>
      </c>
      <c r="D14" s="259">
        <f>SUM(D4:D13)</f>
        <v>123.1</v>
      </c>
      <c r="E14" s="265"/>
    </row>
    <row r="15" spans="1:9" ht="15.75" thickBot="1" x14ac:dyDescent="0.3">
      <c r="E15" s="207"/>
    </row>
    <row r="16" spans="1:9" ht="15.75" thickBot="1" x14ac:dyDescent="0.3">
      <c r="A16" s="387" t="s">
        <v>97</v>
      </c>
      <c r="B16" s="277" t="s">
        <v>198</v>
      </c>
      <c r="C16" s="278" t="s">
        <v>115</v>
      </c>
      <c r="D16" s="278" t="s">
        <v>116</v>
      </c>
      <c r="E16" s="279" t="s">
        <v>117</v>
      </c>
    </row>
    <row r="17" spans="1:5" x14ac:dyDescent="0.25">
      <c r="A17" s="388"/>
      <c r="B17" s="266" t="s">
        <v>42</v>
      </c>
      <c r="C17" s="121">
        <v>110</v>
      </c>
      <c r="D17" s="121">
        <v>7.7</v>
      </c>
      <c r="E17" s="265">
        <f>C17/(C17+D17)</f>
        <v>0.93457943925233644</v>
      </c>
    </row>
    <row r="18" spans="1:5" x14ac:dyDescent="0.25">
      <c r="A18" s="388"/>
      <c r="B18" s="248" t="s">
        <v>43</v>
      </c>
      <c r="C18" s="255">
        <v>48.5</v>
      </c>
      <c r="D18" s="255">
        <v>49.7</v>
      </c>
      <c r="E18" s="263">
        <f>C18/(C18+D18)</f>
        <v>0.49389002036659874</v>
      </c>
    </row>
    <row r="19" spans="1:5" x14ac:dyDescent="0.25">
      <c r="A19" s="388"/>
      <c r="B19" s="248" t="s">
        <v>44</v>
      </c>
      <c r="C19" s="255">
        <v>72.2</v>
      </c>
      <c r="D19" s="255">
        <v>27</v>
      </c>
      <c r="E19" s="263">
        <f t="shared" ref="E19:E25" si="2">C19/(C19+D19)</f>
        <v>0.72782258064516125</v>
      </c>
    </row>
    <row r="20" spans="1:5" x14ac:dyDescent="0.25">
      <c r="A20" s="388"/>
      <c r="B20" s="248" t="s">
        <v>47</v>
      </c>
      <c r="C20" s="255">
        <v>2.6</v>
      </c>
      <c r="D20" s="255">
        <v>12.4</v>
      </c>
      <c r="E20" s="263">
        <f t="shared" si="2"/>
        <v>0.17333333333333334</v>
      </c>
    </row>
    <row r="21" spans="1:5" x14ac:dyDescent="0.25">
      <c r="A21" s="388"/>
      <c r="B21" s="248" t="s">
        <v>85</v>
      </c>
      <c r="C21" s="255">
        <v>49.1</v>
      </c>
      <c r="D21" s="255">
        <v>31</v>
      </c>
      <c r="E21" s="263">
        <f t="shared" si="2"/>
        <v>0.61298377028714113</v>
      </c>
    </row>
    <row r="22" spans="1:5" x14ac:dyDescent="0.25">
      <c r="A22" s="388"/>
      <c r="B22" s="248" t="s">
        <v>87</v>
      </c>
      <c r="C22" s="255">
        <v>71.5</v>
      </c>
      <c r="D22" s="255">
        <v>23.3</v>
      </c>
      <c r="E22" s="263">
        <f t="shared" si="2"/>
        <v>0.75421940928270048</v>
      </c>
    </row>
    <row r="23" spans="1:5" hidden="1" x14ac:dyDescent="0.25">
      <c r="A23" s="388"/>
      <c r="B23" s="248" t="s">
        <v>199</v>
      </c>
      <c r="C23" s="255"/>
      <c r="D23" s="255"/>
      <c r="E23" s="263" t="e">
        <f t="shared" si="2"/>
        <v>#DIV/0!</v>
      </c>
    </row>
    <row r="24" spans="1:5" x14ac:dyDescent="0.25">
      <c r="A24" s="388"/>
      <c r="B24" s="248" t="s">
        <v>49</v>
      </c>
      <c r="C24" s="255">
        <v>50.5</v>
      </c>
      <c r="D24" s="255">
        <v>29.3</v>
      </c>
      <c r="E24" s="263">
        <f t="shared" si="2"/>
        <v>0.6328320802005013</v>
      </c>
    </row>
    <row r="25" spans="1:5" x14ac:dyDescent="0.25">
      <c r="A25" s="388"/>
      <c r="B25" s="248" t="s">
        <v>48</v>
      </c>
      <c r="C25" s="255">
        <v>17.3</v>
      </c>
      <c r="D25" s="255">
        <v>58.7</v>
      </c>
      <c r="E25" s="263">
        <f t="shared" si="2"/>
        <v>0.22763157894736843</v>
      </c>
    </row>
    <row r="26" spans="1:5" ht="15.75" thickBot="1" x14ac:dyDescent="0.3">
      <c r="A26" s="388"/>
      <c r="B26" s="261" t="s">
        <v>50</v>
      </c>
      <c r="C26" s="38">
        <v>60.2</v>
      </c>
      <c r="D26" s="38">
        <v>25</v>
      </c>
      <c r="E26" s="263">
        <f>C26/(C26+D26)</f>
        <v>0.70657276995305163</v>
      </c>
    </row>
    <row r="27" spans="1:5" ht="16.5" thickTop="1" thickBot="1" x14ac:dyDescent="0.3">
      <c r="A27" s="389"/>
      <c r="B27" s="262" t="s">
        <v>53</v>
      </c>
      <c r="C27" s="259">
        <f>SUM(C17:C26)</f>
        <v>481.9</v>
      </c>
      <c r="D27" s="259">
        <f>SUM(D17:D26)</f>
        <v>264.10000000000002</v>
      </c>
      <c r="E27" s="265"/>
    </row>
    <row r="28" spans="1:5" ht="15.75" thickBot="1" x14ac:dyDescent="0.3"/>
    <row r="29" spans="1:5" ht="15.75" thickBot="1" x14ac:dyDescent="0.3">
      <c r="A29" s="387" t="s">
        <v>98</v>
      </c>
      <c r="B29" s="277" t="s">
        <v>198</v>
      </c>
      <c r="C29" s="278" t="s">
        <v>115</v>
      </c>
      <c r="D29" s="278" t="s">
        <v>116</v>
      </c>
      <c r="E29" s="279" t="s">
        <v>117</v>
      </c>
    </row>
    <row r="30" spans="1:5" x14ac:dyDescent="0.25">
      <c r="A30" s="388"/>
      <c r="B30" s="266" t="s">
        <v>42</v>
      </c>
      <c r="C30" s="121">
        <v>24.4</v>
      </c>
      <c r="D30" s="121">
        <v>121</v>
      </c>
      <c r="E30" s="265">
        <f>C30/(C30+D30)</f>
        <v>0.16781292984869325</v>
      </c>
    </row>
    <row r="31" spans="1:5" x14ac:dyDescent="0.25">
      <c r="A31" s="388"/>
      <c r="B31" s="248" t="s">
        <v>43</v>
      </c>
      <c r="C31" s="255">
        <v>43.9</v>
      </c>
      <c r="D31" s="255">
        <v>26.4</v>
      </c>
      <c r="E31" s="263">
        <f>C31/(C31+D31)</f>
        <v>0.62446657183499288</v>
      </c>
    </row>
    <row r="32" spans="1:5" x14ac:dyDescent="0.25">
      <c r="A32" s="388"/>
      <c r="B32" s="248" t="s">
        <v>44</v>
      </c>
      <c r="C32" s="255">
        <v>54.5</v>
      </c>
      <c r="D32" s="255">
        <v>129</v>
      </c>
      <c r="E32" s="263">
        <f t="shared" ref="E32:E38" si="3">C32/(C32+D32)</f>
        <v>0.29700272479564033</v>
      </c>
    </row>
    <row r="33" spans="1:5" x14ac:dyDescent="0.25">
      <c r="A33" s="388"/>
      <c r="B33" s="248" t="s">
        <v>47</v>
      </c>
      <c r="C33" s="255">
        <v>21.4</v>
      </c>
      <c r="D33" s="255">
        <v>74.3</v>
      </c>
      <c r="E33" s="263">
        <f t="shared" si="3"/>
        <v>0.22361546499477536</v>
      </c>
    </row>
    <row r="34" spans="1:5" x14ac:dyDescent="0.25">
      <c r="A34" s="388"/>
      <c r="B34" s="248" t="s">
        <v>85</v>
      </c>
      <c r="C34" s="255">
        <v>29.3</v>
      </c>
      <c r="D34" s="255">
        <v>43.5</v>
      </c>
      <c r="E34" s="263">
        <f t="shared" si="3"/>
        <v>0.40247252747252749</v>
      </c>
    </row>
    <row r="35" spans="1:5" x14ac:dyDescent="0.25">
      <c r="A35" s="388"/>
      <c r="B35" s="248" t="s">
        <v>87</v>
      </c>
      <c r="C35" s="255">
        <v>31.3</v>
      </c>
      <c r="D35" s="255">
        <v>62.7</v>
      </c>
      <c r="E35" s="263">
        <f t="shared" si="3"/>
        <v>0.33297872340425533</v>
      </c>
    </row>
    <row r="36" spans="1:5" x14ac:dyDescent="0.25">
      <c r="A36" s="388"/>
      <c r="B36" s="248" t="s">
        <v>199</v>
      </c>
      <c r="C36" s="255">
        <v>21.6</v>
      </c>
      <c r="D36" s="255">
        <v>0</v>
      </c>
      <c r="E36" s="263">
        <f t="shared" si="3"/>
        <v>1</v>
      </c>
    </row>
    <row r="37" spans="1:5" x14ac:dyDescent="0.25">
      <c r="A37" s="388"/>
      <c r="B37" s="248" t="s">
        <v>49</v>
      </c>
      <c r="C37" s="255">
        <v>25.5</v>
      </c>
      <c r="D37" s="255">
        <v>21.1</v>
      </c>
      <c r="E37" s="263">
        <f t="shared" si="3"/>
        <v>0.5472103004291845</v>
      </c>
    </row>
    <row r="38" spans="1:5" x14ac:dyDescent="0.25">
      <c r="A38" s="388"/>
      <c r="B38" s="248" t="s">
        <v>48</v>
      </c>
      <c r="C38" s="255">
        <v>2.6</v>
      </c>
      <c r="D38" s="255">
        <v>70.099999999999994</v>
      </c>
      <c r="E38" s="263">
        <f t="shared" si="3"/>
        <v>3.5763411279229718E-2</v>
      </c>
    </row>
    <row r="39" spans="1:5" ht="15.75" thickBot="1" x14ac:dyDescent="0.3">
      <c r="A39" s="388"/>
      <c r="B39" s="261" t="s">
        <v>50</v>
      </c>
      <c r="C39" s="38">
        <v>33.299999999999997</v>
      </c>
      <c r="D39" s="38">
        <v>45.5</v>
      </c>
      <c r="E39" s="263">
        <f>C39/(C39+D39)</f>
        <v>0.42258883248730961</v>
      </c>
    </row>
    <row r="40" spans="1:5" ht="16.5" thickTop="1" thickBot="1" x14ac:dyDescent="0.3">
      <c r="A40" s="389"/>
      <c r="B40" s="262" t="s">
        <v>53</v>
      </c>
      <c r="C40" s="259">
        <f>SUM(C30:C39)</f>
        <v>287.8</v>
      </c>
      <c r="D40" s="259">
        <f>SUM(D30:D39)</f>
        <v>593.6</v>
      </c>
      <c r="E40" s="265"/>
    </row>
    <row r="41" spans="1:5" ht="15.75" thickBot="1" x14ac:dyDescent="0.3"/>
    <row r="42" spans="1:5" ht="15.75" thickBot="1" x14ac:dyDescent="0.3">
      <c r="A42" s="387" t="s">
        <v>99</v>
      </c>
      <c r="B42" s="277" t="s">
        <v>198</v>
      </c>
      <c r="C42" s="278" t="s">
        <v>115</v>
      </c>
      <c r="D42" s="278" t="s">
        <v>116</v>
      </c>
      <c r="E42" s="279" t="s">
        <v>117</v>
      </c>
    </row>
    <row r="43" spans="1:5" x14ac:dyDescent="0.25">
      <c r="A43" s="388"/>
      <c r="B43" s="266" t="s">
        <v>42</v>
      </c>
      <c r="C43" s="121"/>
      <c r="D43" s="121"/>
      <c r="E43" s="265" t="e">
        <f>C43/(C43+D43)</f>
        <v>#DIV/0!</v>
      </c>
    </row>
    <row r="44" spans="1:5" x14ac:dyDescent="0.25">
      <c r="A44" s="388"/>
      <c r="B44" s="248" t="s">
        <v>43</v>
      </c>
      <c r="C44" s="255"/>
      <c r="D44" s="255"/>
      <c r="E44" s="263" t="e">
        <f>C44/(C44+D44)</f>
        <v>#DIV/0!</v>
      </c>
    </row>
    <row r="45" spans="1:5" x14ac:dyDescent="0.25">
      <c r="A45" s="388"/>
      <c r="B45" s="248" t="s">
        <v>44</v>
      </c>
      <c r="C45" s="255"/>
      <c r="D45" s="255"/>
      <c r="E45" s="263" t="e">
        <f t="shared" ref="E45:E51" si="4">C45/(C45+D45)</f>
        <v>#DIV/0!</v>
      </c>
    </row>
    <row r="46" spans="1:5" x14ac:dyDescent="0.25">
      <c r="A46" s="388"/>
      <c r="B46" s="248" t="s">
        <v>47</v>
      </c>
      <c r="C46" s="255"/>
      <c r="D46" s="255"/>
      <c r="E46" s="263" t="e">
        <f t="shared" si="4"/>
        <v>#DIV/0!</v>
      </c>
    </row>
    <row r="47" spans="1:5" x14ac:dyDescent="0.25">
      <c r="A47" s="388"/>
      <c r="B47" s="248" t="s">
        <v>85</v>
      </c>
      <c r="C47" s="255"/>
      <c r="D47" s="255"/>
      <c r="E47" s="263" t="e">
        <f t="shared" si="4"/>
        <v>#DIV/0!</v>
      </c>
    </row>
    <row r="48" spans="1:5" x14ac:dyDescent="0.25">
      <c r="A48" s="388"/>
      <c r="B48" s="248" t="s">
        <v>87</v>
      </c>
      <c r="C48" s="255"/>
      <c r="D48" s="255"/>
      <c r="E48" s="263" t="e">
        <f t="shared" si="4"/>
        <v>#DIV/0!</v>
      </c>
    </row>
    <row r="49" spans="1:5" x14ac:dyDescent="0.25">
      <c r="A49" s="388"/>
      <c r="B49" s="248" t="s">
        <v>199</v>
      </c>
      <c r="C49" s="255"/>
      <c r="D49" s="255"/>
      <c r="E49" s="263" t="e">
        <f t="shared" si="4"/>
        <v>#DIV/0!</v>
      </c>
    </row>
    <row r="50" spans="1:5" x14ac:dyDescent="0.25">
      <c r="A50" s="388"/>
      <c r="B50" s="248" t="s">
        <v>49</v>
      </c>
      <c r="C50" s="255"/>
      <c r="D50" s="255"/>
      <c r="E50" s="263" t="e">
        <f t="shared" si="4"/>
        <v>#DIV/0!</v>
      </c>
    </row>
    <row r="51" spans="1:5" x14ac:dyDescent="0.25">
      <c r="A51" s="388"/>
      <c r="B51" s="248" t="s">
        <v>48</v>
      </c>
      <c r="C51" s="255"/>
      <c r="D51" s="255"/>
      <c r="E51" s="263" t="e">
        <f t="shared" si="4"/>
        <v>#DIV/0!</v>
      </c>
    </row>
    <row r="52" spans="1:5" ht="15.75" thickBot="1" x14ac:dyDescent="0.3">
      <c r="A52" s="388"/>
      <c r="B52" s="261" t="s">
        <v>50</v>
      </c>
      <c r="C52" s="38"/>
      <c r="D52" s="38"/>
      <c r="E52" s="263" t="e">
        <f>C52/(C52+D52)</f>
        <v>#DIV/0!</v>
      </c>
    </row>
    <row r="53" spans="1:5" ht="16.5" thickTop="1" thickBot="1" x14ac:dyDescent="0.3">
      <c r="A53" s="389"/>
      <c r="B53" s="262" t="s">
        <v>53</v>
      </c>
      <c r="C53" s="259">
        <f>SUM(C43:C52)</f>
        <v>0</v>
      </c>
      <c r="D53" s="259">
        <f>SUM(D43:D52)</f>
        <v>0</v>
      </c>
      <c r="E53" s="265"/>
    </row>
    <row r="54" spans="1:5" ht="15.75" thickBot="1" x14ac:dyDescent="0.3"/>
    <row r="55" spans="1:5" ht="15.75" thickBot="1" x14ac:dyDescent="0.3">
      <c r="A55" s="387" t="s">
        <v>100</v>
      </c>
      <c r="B55" s="277" t="s">
        <v>198</v>
      </c>
      <c r="C55" s="278" t="s">
        <v>115</v>
      </c>
      <c r="D55" s="278" t="s">
        <v>116</v>
      </c>
      <c r="E55" s="279" t="s">
        <v>117</v>
      </c>
    </row>
    <row r="56" spans="1:5" x14ac:dyDescent="0.25">
      <c r="A56" s="388"/>
      <c r="B56" s="266" t="s">
        <v>42</v>
      </c>
      <c r="C56" s="121"/>
      <c r="D56" s="121"/>
      <c r="E56" s="265" t="e">
        <f>C56/(C56+D56)</f>
        <v>#DIV/0!</v>
      </c>
    </row>
    <row r="57" spans="1:5" x14ac:dyDescent="0.25">
      <c r="A57" s="388"/>
      <c r="B57" s="248" t="s">
        <v>43</v>
      </c>
      <c r="C57" s="255"/>
      <c r="D57" s="255"/>
      <c r="E57" s="263" t="e">
        <f>C57/(C57+D57)</f>
        <v>#DIV/0!</v>
      </c>
    </row>
    <row r="58" spans="1:5" x14ac:dyDescent="0.25">
      <c r="A58" s="388"/>
      <c r="B58" s="248" t="s">
        <v>44</v>
      </c>
      <c r="C58" s="255"/>
      <c r="D58" s="255"/>
      <c r="E58" s="263" t="e">
        <f t="shared" ref="E58:E64" si="5">C58/(C58+D58)</f>
        <v>#DIV/0!</v>
      </c>
    </row>
    <row r="59" spans="1:5" x14ac:dyDescent="0.25">
      <c r="A59" s="388"/>
      <c r="B59" s="248" t="s">
        <v>47</v>
      </c>
      <c r="C59" s="255"/>
      <c r="D59" s="255"/>
      <c r="E59" s="263" t="e">
        <f t="shared" si="5"/>
        <v>#DIV/0!</v>
      </c>
    </row>
    <row r="60" spans="1:5" x14ac:dyDescent="0.25">
      <c r="A60" s="388"/>
      <c r="B60" s="248" t="s">
        <v>85</v>
      </c>
      <c r="C60" s="255"/>
      <c r="D60" s="255"/>
      <c r="E60" s="263" t="e">
        <f t="shared" si="5"/>
        <v>#DIV/0!</v>
      </c>
    </row>
    <row r="61" spans="1:5" x14ac:dyDescent="0.25">
      <c r="A61" s="388"/>
      <c r="B61" s="248" t="s">
        <v>87</v>
      </c>
      <c r="C61" s="255"/>
      <c r="D61" s="255"/>
      <c r="E61" s="263" t="e">
        <f t="shared" si="5"/>
        <v>#DIV/0!</v>
      </c>
    </row>
    <row r="62" spans="1:5" x14ac:dyDescent="0.25">
      <c r="A62" s="388"/>
      <c r="B62" s="248" t="s">
        <v>199</v>
      </c>
      <c r="C62" s="255"/>
      <c r="D62" s="255"/>
      <c r="E62" s="263" t="e">
        <f t="shared" si="5"/>
        <v>#DIV/0!</v>
      </c>
    </row>
    <row r="63" spans="1:5" x14ac:dyDescent="0.25">
      <c r="A63" s="388"/>
      <c r="B63" s="248" t="s">
        <v>49</v>
      </c>
      <c r="C63" s="255"/>
      <c r="D63" s="255"/>
      <c r="E63" s="263" t="e">
        <f t="shared" si="5"/>
        <v>#DIV/0!</v>
      </c>
    </row>
    <row r="64" spans="1:5" x14ac:dyDescent="0.25">
      <c r="A64" s="388"/>
      <c r="B64" s="248" t="s">
        <v>48</v>
      </c>
      <c r="C64" s="255"/>
      <c r="D64" s="255"/>
      <c r="E64" s="263" t="e">
        <f t="shared" si="5"/>
        <v>#DIV/0!</v>
      </c>
    </row>
    <row r="65" spans="1:5" ht="15.75" thickBot="1" x14ac:dyDescent="0.3">
      <c r="A65" s="388"/>
      <c r="B65" s="261" t="s">
        <v>50</v>
      </c>
      <c r="C65" s="38"/>
      <c r="D65" s="38"/>
      <c r="E65" s="263" t="e">
        <f>C65/(C65+D65)</f>
        <v>#DIV/0!</v>
      </c>
    </row>
    <row r="66" spans="1:5" ht="16.5" thickTop="1" thickBot="1" x14ac:dyDescent="0.3">
      <c r="A66" s="389"/>
      <c r="B66" s="262" t="s">
        <v>53</v>
      </c>
      <c r="C66" s="259">
        <f>SUM(C56:C65)</f>
        <v>0</v>
      </c>
      <c r="D66" s="259">
        <f>SUM(D56:D65)</f>
        <v>0</v>
      </c>
      <c r="E66" s="265"/>
    </row>
    <row r="67" spans="1:5" ht="15.75" thickBot="1" x14ac:dyDescent="0.3"/>
    <row r="68" spans="1:5" ht="15.75" thickBot="1" x14ac:dyDescent="0.3">
      <c r="A68" s="387" t="s">
        <v>101</v>
      </c>
      <c r="B68" s="277" t="s">
        <v>198</v>
      </c>
      <c r="C68" s="278" t="s">
        <v>115</v>
      </c>
      <c r="D68" s="278" t="s">
        <v>116</v>
      </c>
      <c r="E68" s="279" t="s">
        <v>117</v>
      </c>
    </row>
    <row r="69" spans="1:5" x14ac:dyDescent="0.25">
      <c r="A69" s="388"/>
      <c r="B69" s="266" t="s">
        <v>42</v>
      </c>
      <c r="C69" s="121"/>
      <c r="D69" s="121"/>
      <c r="E69" s="265" t="e">
        <f>C69/(C69+D69)</f>
        <v>#DIV/0!</v>
      </c>
    </row>
    <row r="70" spans="1:5" x14ac:dyDescent="0.25">
      <c r="A70" s="388"/>
      <c r="B70" s="248" t="s">
        <v>43</v>
      </c>
      <c r="C70" s="255"/>
      <c r="D70" s="255"/>
      <c r="E70" s="263" t="e">
        <f>C70/(C70+D70)</f>
        <v>#DIV/0!</v>
      </c>
    </row>
    <row r="71" spans="1:5" x14ac:dyDescent="0.25">
      <c r="A71" s="388"/>
      <c r="B71" s="248" t="s">
        <v>44</v>
      </c>
      <c r="C71" s="255"/>
      <c r="D71" s="255"/>
      <c r="E71" s="263" t="e">
        <f t="shared" ref="E71:E77" si="6">C71/(C71+D71)</f>
        <v>#DIV/0!</v>
      </c>
    </row>
    <row r="72" spans="1:5" x14ac:dyDescent="0.25">
      <c r="A72" s="388"/>
      <c r="B72" s="248" t="s">
        <v>47</v>
      </c>
      <c r="C72" s="255"/>
      <c r="D72" s="255"/>
      <c r="E72" s="263" t="e">
        <f t="shared" si="6"/>
        <v>#DIV/0!</v>
      </c>
    </row>
    <row r="73" spans="1:5" x14ac:dyDescent="0.25">
      <c r="A73" s="388"/>
      <c r="B73" s="248" t="s">
        <v>85</v>
      </c>
      <c r="C73" s="255"/>
      <c r="D73" s="255"/>
      <c r="E73" s="263" t="e">
        <f t="shared" si="6"/>
        <v>#DIV/0!</v>
      </c>
    </row>
    <row r="74" spans="1:5" x14ac:dyDescent="0.25">
      <c r="A74" s="388"/>
      <c r="B74" s="248" t="s">
        <v>87</v>
      </c>
      <c r="C74" s="255"/>
      <c r="D74" s="255"/>
      <c r="E74" s="263" t="e">
        <f t="shared" si="6"/>
        <v>#DIV/0!</v>
      </c>
    </row>
    <row r="75" spans="1:5" x14ac:dyDescent="0.25">
      <c r="A75" s="388"/>
      <c r="B75" s="248" t="s">
        <v>199</v>
      </c>
      <c r="C75" s="255"/>
      <c r="D75" s="255"/>
      <c r="E75" s="263" t="e">
        <f t="shared" si="6"/>
        <v>#DIV/0!</v>
      </c>
    </row>
    <row r="76" spans="1:5" x14ac:dyDescent="0.25">
      <c r="A76" s="388"/>
      <c r="B76" s="248" t="s">
        <v>49</v>
      </c>
      <c r="C76" s="255"/>
      <c r="D76" s="255"/>
      <c r="E76" s="263" t="e">
        <f t="shared" si="6"/>
        <v>#DIV/0!</v>
      </c>
    </row>
    <row r="77" spans="1:5" x14ac:dyDescent="0.25">
      <c r="A77" s="388"/>
      <c r="B77" s="248" t="s">
        <v>48</v>
      </c>
      <c r="C77" s="255"/>
      <c r="D77" s="255"/>
      <c r="E77" s="263" t="e">
        <f t="shared" si="6"/>
        <v>#DIV/0!</v>
      </c>
    </row>
    <row r="78" spans="1:5" ht="15.75" thickBot="1" x14ac:dyDescent="0.3">
      <c r="A78" s="388"/>
      <c r="B78" s="261" t="s">
        <v>50</v>
      </c>
      <c r="C78" s="38"/>
      <c r="D78" s="38"/>
      <c r="E78" s="263" t="e">
        <f>C78/(C78+D78)</f>
        <v>#DIV/0!</v>
      </c>
    </row>
    <row r="79" spans="1:5" ht="16.5" thickTop="1" thickBot="1" x14ac:dyDescent="0.3">
      <c r="A79" s="389"/>
      <c r="B79" s="262" t="s">
        <v>53</v>
      </c>
      <c r="C79" s="259">
        <f>SUM(C69:C78)</f>
        <v>0</v>
      </c>
      <c r="D79" s="259">
        <f>SUM(D69:D78)</f>
        <v>0</v>
      </c>
      <c r="E79" s="265"/>
    </row>
    <row r="80" spans="1:5" ht="15.75" thickBot="1" x14ac:dyDescent="0.3"/>
    <row r="81" spans="1:5" ht="15.75" thickBot="1" x14ac:dyDescent="0.3">
      <c r="A81" s="387" t="s">
        <v>102</v>
      </c>
      <c r="B81" s="277" t="s">
        <v>198</v>
      </c>
      <c r="C81" s="278" t="s">
        <v>115</v>
      </c>
      <c r="D81" s="278" t="s">
        <v>116</v>
      </c>
      <c r="E81" s="279" t="s">
        <v>117</v>
      </c>
    </row>
    <row r="82" spans="1:5" x14ac:dyDescent="0.25">
      <c r="A82" s="388"/>
      <c r="B82" s="266" t="s">
        <v>42</v>
      </c>
      <c r="C82" s="121"/>
      <c r="D82" s="121"/>
      <c r="E82" s="265" t="e">
        <f>C82/(C82+D82)</f>
        <v>#DIV/0!</v>
      </c>
    </row>
    <row r="83" spans="1:5" x14ac:dyDescent="0.25">
      <c r="A83" s="388"/>
      <c r="B83" s="248" t="s">
        <v>43</v>
      </c>
      <c r="C83" s="255"/>
      <c r="D83" s="255"/>
      <c r="E83" s="263" t="e">
        <f>C83/(C83+D83)</f>
        <v>#DIV/0!</v>
      </c>
    </row>
    <row r="84" spans="1:5" x14ac:dyDescent="0.25">
      <c r="A84" s="388"/>
      <c r="B84" s="248" t="s">
        <v>44</v>
      </c>
      <c r="C84" s="255"/>
      <c r="D84" s="255"/>
      <c r="E84" s="263" t="e">
        <f t="shared" ref="E84:E90" si="7">C84/(C84+D84)</f>
        <v>#DIV/0!</v>
      </c>
    </row>
    <row r="85" spans="1:5" x14ac:dyDescent="0.25">
      <c r="A85" s="388"/>
      <c r="B85" s="248" t="s">
        <v>47</v>
      </c>
      <c r="C85" s="255"/>
      <c r="D85" s="255"/>
      <c r="E85" s="263" t="e">
        <f t="shared" si="7"/>
        <v>#DIV/0!</v>
      </c>
    </row>
    <row r="86" spans="1:5" x14ac:dyDescent="0.25">
      <c r="A86" s="388"/>
      <c r="B86" s="248" t="s">
        <v>85</v>
      </c>
      <c r="C86" s="255"/>
      <c r="D86" s="255"/>
      <c r="E86" s="263" t="e">
        <f t="shared" si="7"/>
        <v>#DIV/0!</v>
      </c>
    </row>
    <row r="87" spans="1:5" x14ac:dyDescent="0.25">
      <c r="A87" s="388"/>
      <c r="B87" s="248" t="s">
        <v>87</v>
      </c>
      <c r="C87" s="255"/>
      <c r="D87" s="255"/>
      <c r="E87" s="263" t="e">
        <f t="shared" si="7"/>
        <v>#DIV/0!</v>
      </c>
    </row>
    <row r="88" spans="1:5" x14ac:dyDescent="0.25">
      <c r="A88" s="388"/>
      <c r="B88" s="248" t="s">
        <v>199</v>
      </c>
      <c r="C88" s="255"/>
      <c r="D88" s="255"/>
      <c r="E88" s="263" t="e">
        <f t="shared" si="7"/>
        <v>#DIV/0!</v>
      </c>
    </row>
    <row r="89" spans="1:5" x14ac:dyDescent="0.25">
      <c r="A89" s="388"/>
      <c r="B89" s="248" t="s">
        <v>49</v>
      </c>
      <c r="C89" s="255"/>
      <c r="D89" s="255"/>
      <c r="E89" s="263" t="e">
        <f t="shared" si="7"/>
        <v>#DIV/0!</v>
      </c>
    </row>
    <row r="90" spans="1:5" x14ac:dyDescent="0.25">
      <c r="A90" s="388"/>
      <c r="B90" s="248" t="s">
        <v>48</v>
      </c>
      <c r="C90" s="255"/>
      <c r="D90" s="255"/>
      <c r="E90" s="263" t="e">
        <f t="shared" si="7"/>
        <v>#DIV/0!</v>
      </c>
    </row>
    <row r="91" spans="1:5" ht="15.75" thickBot="1" x14ac:dyDescent="0.3">
      <c r="A91" s="388"/>
      <c r="B91" s="261" t="s">
        <v>50</v>
      </c>
      <c r="C91" s="38"/>
      <c r="D91" s="38"/>
      <c r="E91" s="263" t="e">
        <f>C91/(C91+D91)</f>
        <v>#DIV/0!</v>
      </c>
    </row>
    <row r="92" spans="1:5" ht="16.5" thickTop="1" thickBot="1" x14ac:dyDescent="0.3">
      <c r="A92" s="389"/>
      <c r="B92" s="262" t="s">
        <v>53</v>
      </c>
      <c r="C92" s="259">
        <f>SUM(C82:C91)</f>
        <v>0</v>
      </c>
      <c r="D92" s="259">
        <f>SUM(D82:D91)</f>
        <v>0</v>
      </c>
      <c r="E92" s="265"/>
    </row>
    <row r="93" spans="1:5" ht="15.75" thickBot="1" x14ac:dyDescent="0.3"/>
    <row r="94" spans="1:5" ht="15.75" thickBot="1" x14ac:dyDescent="0.3">
      <c r="A94" s="387" t="s">
        <v>103</v>
      </c>
      <c r="B94" s="277" t="s">
        <v>198</v>
      </c>
      <c r="C94" s="278" t="s">
        <v>115</v>
      </c>
      <c r="D94" s="278" t="s">
        <v>116</v>
      </c>
      <c r="E94" s="279" t="s">
        <v>117</v>
      </c>
    </row>
    <row r="95" spans="1:5" x14ac:dyDescent="0.25">
      <c r="A95" s="388"/>
      <c r="B95" s="266" t="s">
        <v>42</v>
      </c>
      <c r="C95" s="121"/>
      <c r="D95" s="121"/>
      <c r="E95" s="265" t="e">
        <f>C95/(C95+D95)</f>
        <v>#DIV/0!</v>
      </c>
    </row>
    <row r="96" spans="1:5" x14ac:dyDescent="0.25">
      <c r="A96" s="388"/>
      <c r="B96" s="248" t="s">
        <v>43</v>
      </c>
      <c r="C96" s="255"/>
      <c r="D96" s="255"/>
      <c r="E96" s="263" t="e">
        <f>C96/(C96+D96)</f>
        <v>#DIV/0!</v>
      </c>
    </row>
    <row r="97" spans="1:5" x14ac:dyDescent="0.25">
      <c r="A97" s="388"/>
      <c r="B97" s="248" t="s">
        <v>44</v>
      </c>
      <c r="C97" s="255"/>
      <c r="D97" s="255"/>
      <c r="E97" s="263" t="e">
        <f t="shared" ref="E97:E103" si="8">C97/(C97+D97)</f>
        <v>#DIV/0!</v>
      </c>
    </row>
    <row r="98" spans="1:5" x14ac:dyDescent="0.25">
      <c r="A98" s="388"/>
      <c r="B98" s="248" t="s">
        <v>47</v>
      </c>
      <c r="C98" s="255"/>
      <c r="D98" s="255"/>
      <c r="E98" s="263" t="e">
        <f t="shared" si="8"/>
        <v>#DIV/0!</v>
      </c>
    </row>
    <row r="99" spans="1:5" x14ac:dyDescent="0.25">
      <c r="A99" s="388"/>
      <c r="B99" s="248" t="s">
        <v>85</v>
      </c>
      <c r="C99" s="255"/>
      <c r="D99" s="255"/>
      <c r="E99" s="263" t="e">
        <f t="shared" si="8"/>
        <v>#DIV/0!</v>
      </c>
    </row>
    <row r="100" spans="1:5" x14ac:dyDescent="0.25">
      <c r="A100" s="388"/>
      <c r="B100" s="248" t="s">
        <v>87</v>
      </c>
      <c r="C100" s="255"/>
      <c r="D100" s="255"/>
      <c r="E100" s="263" t="e">
        <f t="shared" si="8"/>
        <v>#DIV/0!</v>
      </c>
    </row>
    <row r="101" spans="1:5" x14ac:dyDescent="0.25">
      <c r="A101" s="388"/>
      <c r="B101" s="248" t="s">
        <v>199</v>
      </c>
      <c r="C101" s="255"/>
      <c r="D101" s="255"/>
      <c r="E101" s="263" t="e">
        <f t="shared" si="8"/>
        <v>#DIV/0!</v>
      </c>
    </row>
    <row r="102" spans="1:5" x14ac:dyDescent="0.25">
      <c r="A102" s="388"/>
      <c r="B102" s="248" t="s">
        <v>49</v>
      </c>
      <c r="C102" s="255"/>
      <c r="D102" s="255"/>
      <c r="E102" s="263" t="e">
        <f t="shared" si="8"/>
        <v>#DIV/0!</v>
      </c>
    </row>
    <row r="103" spans="1:5" x14ac:dyDescent="0.25">
      <c r="A103" s="388"/>
      <c r="B103" s="248" t="s">
        <v>48</v>
      </c>
      <c r="C103" s="255"/>
      <c r="D103" s="255"/>
      <c r="E103" s="263" t="e">
        <f t="shared" si="8"/>
        <v>#DIV/0!</v>
      </c>
    </row>
    <row r="104" spans="1:5" ht="15.75" thickBot="1" x14ac:dyDescent="0.3">
      <c r="A104" s="388"/>
      <c r="B104" s="261" t="s">
        <v>50</v>
      </c>
      <c r="C104" s="38"/>
      <c r="D104" s="38"/>
      <c r="E104" s="263" t="e">
        <f>C104/(C104+D104)</f>
        <v>#DIV/0!</v>
      </c>
    </row>
    <row r="105" spans="1:5" ht="16.5" thickTop="1" thickBot="1" x14ac:dyDescent="0.3">
      <c r="A105" s="389"/>
      <c r="B105" s="262" t="s">
        <v>53</v>
      </c>
      <c r="C105" s="259">
        <f>SUM(C95:C104)</f>
        <v>0</v>
      </c>
      <c r="D105" s="259">
        <f>SUM(D95:D104)</f>
        <v>0</v>
      </c>
      <c r="E105" s="265"/>
    </row>
    <row r="106" spans="1:5" ht="15.75" thickBot="1" x14ac:dyDescent="0.3"/>
    <row r="107" spans="1:5" ht="15.75" thickBot="1" x14ac:dyDescent="0.3">
      <c r="A107" s="387" t="s">
        <v>104</v>
      </c>
      <c r="B107" s="277" t="s">
        <v>198</v>
      </c>
      <c r="C107" s="278" t="s">
        <v>115</v>
      </c>
      <c r="D107" s="278" t="s">
        <v>116</v>
      </c>
      <c r="E107" s="279" t="s">
        <v>117</v>
      </c>
    </row>
    <row r="108" spans="1:5" x14ac:dyDescent="0.25">
      <c r="A108" s="388"/>
      <c r="B108" s="266" t="s">
        <v>42</v>
      </c>
      <c r="C108" s="121"/>
      <c r="D108" s="121"/>
      <c r="E108" s="265" t="e">
        <f>C108/(C108+D108)</f>
        <v>#DIV/0!</v>
      </c>
    </row>
    <row r="109" spans="1:5" x14ac:dyDescent="0.25">
      <c r="A109" s="388"/>
      <c r="B109" s="248" t="s">
        <v>43</v>
      </c>
      <c r="C109" s="255"/>
      <c r="D109" s="255"/>
      <c r="E109" s="263" t="e">
        <f>C109/(C109+D109)</f>
        <v>#DIV/0!</v>
      </c>
    </row>
    <row r="110" spans="1:5" x14ac:dyDescent="0.25">
      <c r="A110" s="388"/>
      <c r="B110" s="248" t="s">
        <v>44</v>
      </c>
      <c r="C110" s="255"/>
      <c r="D110" s="255"/>
      <c r="E110" s="263" t="e">
        <f t="shared" ref="E110:E116" si="9">C110/(C110+D110)</f>
        <v>#DIV/0!</v>
      </c>
    </row>
    <row r="111" spans="1:5" x14ac:dyDescent="0.25">
      <c r="A111" s="388"/>
      <c r="B111" s="248" t="s">
        <v>47</v>
      </c>
      <c r="C111" s="255"/>
      <c r="D111" s="255"/>
      <c r="E111" s="263" t="e">
        <f t="shared" si="9"/>
        <v>#DIV/0!</v>
      </c>
    </row>
    <row r="112" spans="1:5" x14ac:dyDescent="0.25">
      <c r="A112" s="388"/>
      <c r="B112" s="248" t="s">
        <v>85</v>
      </c>
      <c r="C112" s="255"/>
      <c r="D112" s="255"/>
      <c r="E112" s="263" t="e">
        <f t="shared" si="9"/>
        <v>#DIV/0!</v>
      </c>
    </row>
    <row r="113" spans="1:5" x14ac:dyDescent="0.25">
      <c r="A113" s="388"/>
      <c r="B113" s="248" t="s">
        <v>87</v>
      </c>
      <c r="C113" s="255"/>
      <c r="D113" s="255"/>
      <c r="E113" s="263" t="e">
        <f t="shared" si="9"/>
        <v>#DIV/0!</v>
      </c>
    </row>
    <row r="114" spans="1:5" x14ac:dyDescent="0.25">
      <c r="A114" s="388"/>
      <c r="B114" s="248" t="s">
        <v>199</v>
      </c>
      <c r="C114" s="255"/>
      <c r="D114" s="255"/>
      <c r="E114" s="263" t="e">
        <f t="shared" si="9"/>
        <v>#DIV/0!</v>
      </c>
    </row>
    <row r="115" spans="1:5" x14ac:dyDescent="0.25">
      <c r="A115" s="388"/>
      <c r="B115" s="248" t="s">
        <v>49</v>
      </c>
      <c r="C115" s="255"/>
      <c r="D115" s="255"/>
      <c r="E115" s="263" t="e">
        <f t="shared" si="9"/>
        <v>#DIV/0!</v>
      </c>
    </row>
    <row r="116" spans="1:5" x14ac:dyDescent="0.25">
      <c r="A116" s="388"/>
      <c r="B116" s="248" t="s">
        <v>48</v>
      </c>
      <c r="C116" s="255"/>
      <c r="D116" s="255"/>
      <c r="E116" s="263" t="e">
        <f t="shared" si="9"/>
        <v>#DIV/0!</v>
      </c>
    </row>
    <row r="117" spans="1:5" ht="15.75" thickBot="1" x14ac:dyDescent="0.3">
      <c r="A117" s="388"/>
      <c r="B117" s="261" t="s">
        <v>50</v>
      </c>
      <c r="C117" s="38"/>
      <c r="D117" s="38"/>
      <c r="E117" s="263" t="e">
        <f>C117/(C117+D117)</f>
        <v>#DIV/0!</v>
      </c>
    </row>
    <row r="118" spans="1:5" ht="16.5" thickTop="1" thickBot="1" x14ac:dyDescent="0.3">
      <c r="A118" s="389"/>
      <c r="B118" s="262" t="s">
        <v>53</v>
      </c>
      <c r="C118" s="259">
        <f>SUM(C108:C117)</f>
        <v>0</v>
      </c>
      <c r="D118" s="259">
        <f>SUM(D108:D117)</f>
        <v>0</v>
      </c>
      <c r="E118" s="265"/>
    </row>
    <row r="119" spans="1:5" ht="15.75" thickBot="1" x14ac:dyDescent="0.3"/>
    <row r="120" spans="1:5" ht="15.75" thickBot="1" x14ac:dyDescent="0.3">
      <c r="A120" s="387" t="s">
        <v>105</v>
      </c>
      <c r="B120" s="277" t="s">
        <v>198</v>
      </c>
      <c r="C120" s="278" t="s">
        <v>115</v>
      </c>
      <c r="D120" s="278" t="s">
        <v>116</v>
      </c>
      <c r="E120" s="279" t="s">
        <v>117</v>
      </c>
    </row>
    <row r="121" spans="1:5" x14ac:dyDescent="0.25">
      <c r="A121" s="388"/>
      <c r="B121" s="266" t="s">
        <v>42</v>
      </c>
      <c r="C121" s="121"/>
      <c r="D121" s="121"/>
      <c r="E121" s="265" t="e">
        <f>C121/(C121+D121)</f>
        <v>#DIV/0!</v>
      </c>
    </row>
    <row r="122" spans="1:5" x14ac:dyDescent="0.25">
      <c r="A122" s="388"/>
      <c r="B122" s="248" t="s">
        <v>43</v>
      </c>
      <c r="C122" s="255"/>
      <c r="D122" s="255"/>
      <c r="E122" s="263" t="e">
        <f>C122/(C122+D122)</f>
        <v>#DIV/0!</v>
      </c>
    </row>
    <row r="123" spans="1:5" x14ac:dyDescent="0.25">
      <c r="A123" s="388"/>
      <c r="B123" s="248" t="s">
        <v>44</v>
      </c>
      <c r="C123" s="255"/>
      <c r="D123" s="255"/>
      <c r="E123" s="263" t="e">
        <f t="shared" ref="E123:E129" si="10">C123/(C123+D123)</f>
        <v>#DIV/0!</v>
      </c>
    </row>
    <row r="124" spans="1:5" x14ac:dyDescent="0.25">
      <c r="A124" s="388"/>
      <c r="B124" s="248" t="s">
        <v>47</v>
      </c>
      <c r="C124" s="255"/>
      <c r="D124" s="255"/>
      <c r="E124" s="263" t="e">
        <f t="shared" si="10"/>
        <v>#DIV/0!</v>
      </c>
    </row>
    <row r="125" spans="1:5" x14ac:dyDescent="0.25">
      <c r="A125" s="388"/>
      <c r="B125" s="248" t="s">
        <v>85</v>
      </c>
      <c r="C125" s="255"/>
      <c r="D125" s="255"/>
      <c r="E125" s="263" t="e">
        <f t="shared" si="10"/>
        <v>#DIV/0!</v>
      </c>
    </row>
    <row r="126" spans="1:5" x14ac:dyDescent="0.25">
      <c r="A126" s="388"/>
      <c r="B126" s="248" t="s">
        <v>87</v>
      </c>
      <c r="C126" s="255"/>
      <c r="D126" s="255"/>
      <c r="E126" s="263" t="e">
        <f t="shared" si="10"/>
        <v>#DIV/0!</v>
      </c>
    </row>
    <row r="127" spans="1:5" x14ac:dyDescent="0.25">
      <c r="A127" s="388"/>
      <c r="B127" s="248" t="s">
        <v>199</v>
      </c>
      <c r="C127" s="255"/>
      <c r="D127" s="255"/>
      <c r="E127" s="263" t="e">
        <f t="shared" si="10"/>
        <v>#DIV/0!</v>
      </c>
    </row>
    <row r="128" spans="1:5" x14ac:dyDescent="0.25">
      <c r="A128" s="388"/>
      <c r="B128" s="248" t="s">
        <v>49</v>
      </c>
      <c r="C128" s="255"/>
      <c r="D128" s="255"/>
      <c r="E128" s="263" t="e">
        <f t="shared" si="10"/>
        <v>#DIV/0!</v>
      </c>
    </row>
    <row r="129" spans="1:5" x14ac:dyDescent="0.25">
      <c r="A129" s="388"/>
      <c r="B129" s="248" t="s">
        <v>48</v>
      </c>
      <c r="C129" s="255"/>
      <c r="D129" s="255"/>
      <c r="E129" s="263" t="e">
        <f t="shared" si="10"/>
        <v>#DIV/0!</v>
      </c>
    </row>
    <row r="130" spans="1:5" ht="15.75" thickBot="1" x14ac:dyDescent="0.3">
      <c r="A130" s="388"/>
      <c r="B130" s="261" t="s">
        <v>50</v>
      </c>
      <c r="C130" s="38"/>
      <c r="D130" s="38"/>
      <c r="E130" s="263" t="e">
        <f>C130/(C130+D130)</f>
        <v>#DIV/0!</v>
      </c>
    </row>
    <row r="131" spans="1:5" ht="16.5" thickTop="1" thickBot="1" x14ac:dyDescent="0.3">
      <c r="A131" s="389"/>
      <c r="B131" s="262" t="s">
        <v>53</v>
      </c>
      <c r="C131" s="259">
        <f>SUM(C121:C130)</f>
        <v>0</v>
      </c>
      <c r="D131" s="259">
        <f>SUM(D121:D130)</f>
        <v>0</v>
      </c>
      <c r="E131" s="265"/>
    </row>
    <row r="132" spans="1:5" ht="15.75" thickBot="1" x14ac:dyDescent="0.3"/>
    <row r="133" spans="1:5" ht="15.75" thickBot="1" x14ac:dyDescent="0.3">
      <c r="A133" s="387" t="s">
        <v>106</v>
      </c>
      <c r="B133" s="277" t="s">
        <v>198</v>
      </c>
      <c r="C133" s="278" t="s">
        <v>115</v>
      </c>
      <c r="D133" s="278" t="s">
        <v>116</v>
      </c>
      <c r="E133" s="279" t="s">
        <v>117</v>
      </c>
    </row>
    <row r="134" spans="1:5" x14ac:dyDescent="0.25">
      <c r="A134" s="388"/>
      <c r="B134" s="266" t="s">
        <v>42</v>
      </c>
      <c r="C134" s="121"/>
      <c r="D134" s="121"/>
      <c r="E134" s="265" t="e">
        <f>C134/(C134+D134)</f>
        <v>#DIV/0!</v>
      </c>
    </row>
    <row r="135" spans="1:5" x14ac:dyDescent="0.25">
      <c r="A135" s="388"/>
      <c r="B135" s="248" t="s">
        <v>43</v>
      </c>
      <c r="C135" s="255"/>
      <c r="D135" s="255"/>
      <c r="E135" s="263" t="e">
        <f>C135/(C135+D135)</f>
        <v>#DIV/0!</v>
      </c>
    </row>
    <row r="136" spans="1:5" x14ac:dyDescent="0.25">
      <c r="A136" s="388"/>
      <c r="B136" s="248" t="s">
        <v>44</v>
      </c>
      <c r="C136" s="255"/>
      <c r="D136" s="255"/>
      <c r="E136" s="263" t="e">
        <f t="shared" ref="E136:E142" si="11">C136/(C136+D136)</f>
        <v>#DIV/0!</v>
      </c>
    </row>
    <row r="137" spans="1:5" x14ac:dyDescent="0.25">
      <c r="A137" s="388"/>
      <c r="B137" s="248" t="s">
        <v>47</v>
      </c>
      <c r="C137" s="255"/>
      <c r="D137" s="255"/>
      <c r="E137" s="263" t="e">
        <f t="shared" si="11"/>
        <v>#DIV/0!</v>
      </c>
    </row>
    <row r="138" spans="1:5" x14ac:dyDescent="0.25">
      <c r="A138" s="388"/>
      <c r="B138" s="248" t="s">
        <v>85</v>
      </c>
      <c r="C138" s="255"/>
      <c r="D138" s="255"/>
      <c r="E138" s="263" t="e">
        <f t="shared" si="11"/>
        <v>#DIV/0!</v>
      </c>
    </row>
    <row r="139" spans="1:5" x14ac:dyDescent="0.25">
      <c r="A139" s="388"/>
      <c r="B139" s="248" t="s">
        <v>87</v>
      </c>
      <c r="C139" s="255"/>
      <c r="D139" s="255"/>
      <c r="E139" s="263" t="e">
        <f t="shared" si="11"/>
        <v>#DIV/0!</v>
      </c>
    </row>
    <row r="140" spans="1:5" x14ac:dyDescent="0.25">
      <c r="A140" s="388"/>
      <c r="B140" s="248" t="s">
        <v>199</v>
      </c>
      <c r="C140" s="255"/>
      <c r="D140" s="255"/>
      <c r="E140" s="263" t="e">
        <f t="shared" si="11"/>
        <v>#DIV/0!</v>
      </c>
    </row>
    <row r="141" spans="1:5" x14ac:dyDescent="0.25">
      <c r="A141" s="388"/>
      <c r="B141" s="248" t="s">
        <v>49</v>
      </c>
      <c r="C141" s="255"/>
      <c r="D141" s="255"/>
      <c r="E141" s="263" t="e">
        <f t="shared" si="11"/>
        <v>#DIV/0!</v>
      </c>
    </row>
    <row r="142" spans="1:5" x14ac:dyDescent="0.25">
      <c r="A142" s="388"/>
      <c r="B142" s="248" t="s">
        <v>48</v>
      </c>
      <c r="C142" s="255"/>
      <c r="D142" s="255"/>
      <c r="E142" s="263" t="e">
        <f t="shared" si="11"/>
        <v>#DIV/0!</v>
      </c>
    </row>
    <row r="143" spans="1:5" ht="15.75" thickBot="1" x14ac:dyDescent="0.3">
      <c r="A143" s="388"/>
      <c r="B143" s="261" t="s">
        <v>50</v>
      </c>
      <c r="C143" s="38"/>
      <c r="D143" s="38"/>
      <c r="E143" s="263" t="e">
        <f>C143/(C143+D143)</f>
        <v>#DIV/0!</v>
      </c>
    </row>
    <row r="144" spans="1:5" ht="16.5" thickTop="1" thickBot="1" x14ac:dyDescent="0.3">
      <c r="A144" s="389"/>
      <c r="B144" s="262" t="s">
        <v>53</v>
      </c>
      <c r="C144" s="259">
        <f>SUM(C134:C143)</f>
        <v>0</v>
      </c>
      <c r="D144" s="259">
        <f>SUM(D134:D143)</f>
        <v>0</v>
      </c>
      <c r="E144" s="265"/>
    </row>
    <row r="145" spans="1:5" ht="15.75" thickBot="1" x14ac:dyDescent="0.3"/>
    <row r="146" spans="1:5" ht="15.75" thickBot="1" x14ac:dyDescent="0.3">
      <c r="A146" s="387" t="s">
        <v>107</v>
      </c>
      <c r="B146" s="277" t="s">
        <v>198</v>
      </c>
      <c r="C146" s="278" t="s">
        <v>115</v>
      </c>
      <c r="D146" s="278" t="s">
        <v>116</v>
      </c>
      <c r="E146" s="279" t="s">
        <v>117</v>
      </c>
    </row>
    <row r="147" spans="1:5" x14ac:dyDescent="0.25">
      <c r="A147" s="388"/>
      <c r="B147" s="266" t="s">
        <v>42</v>
      </c>
      <c r="C147" s="121"/>
      <c r="D147" s="121"/>
      <c r="E147" s="265" t="e">
        <f>C147/(C147+D147)</f>
        <v>#DIV/0!</v>
      </c>
    </row>
    <row r="148" spans="1:5" x14ac:dyDescent="0.25">
      <c r="A148" s="388"/>
      <c r="B148" s="248" t="s">
        <v>43</v>
      </c>
      <c r="C148" s="255"/>
      <c r="D148" s="255"/>
      <c r="E148" s="263" t="e">
        <f>C148/(C148+D148)</f>
        <v>#DIV/0!</v>
      </c>
    </row>
    <row r="149" spans="1:5" x14ac:dyDescent="0.25">
      <c r="A149" s="388"/>
      <c r="B149" s="248" t="s">
        <v>44</v>
      </c>
      <c r="C149" s="255"/>
      <c r="D149" s="255"/>
      <c r="E149" s="263" t="e">
        <f t="shared" ref="E149:E155" si="12">C149/(C149+D149)</f>
        <v>#DIV/0!</v>
      </c>
    </row>
    <row r="150" spans="1:5" x14ac:dyDescent="0.25">
      <c r="A150" s="388"/>
      <c r="B150" s="248" t="s">
        <v>47</v>
      </c>
      <c r="C150" s="255"/>
      <c r="D150" s="255"/>
      <c r="E150" s="263" t="e">
        <f t="shared" si="12"/>
        <v>#DIV/0!</v>
      </c>
    </row>
    <row r="151" spans="1:5" x14ac:dyDescent="0.25">
      <c r="A151" s="388"/>
      <c r="B151" s="248" t="s">
        <v>85</v>
      </c>
      <c r="C151" s="255"/>
      <c r="D151" s="255"/>
      <c r="E151" s="263" t="e">
        <f t="shared" si="12"/>
        <v>#DIV/0!</v>
      </c>
    </row>
    <row r="152" spans="1:5" x14ac:dyDescent="0.25">
      <c r="A152" s="388"/>
      <c r="B152" s="248" t="s">
        <v>87</v>
      </c>
      <c r="C152" s="255"/>
      <c r="D152" s="255"/>
      <c r="E152" s="263" t="e">
        <f t="shared" si="12"/>
        <v>#DIV/0!</v>
      </c>
    </row>
    <row r="153" spans="1:5" x14ac:dyDescent="0.25">
      <c r="A153" s="388"/>
      <c r="B153" s="248" t="s">
        <v>199</v>
      </c>
      <c r="C153" s="255"/>
      <c r="D153" s="255"/>
      <c r="E153" s="263" t="e">
        <f t="shared" si="12"/>
        <v>#DIV/0!</v>
      </c>
    </row>
    <row r="154" spans="1:5" x14ac:dyDescent="0.25">
      <c r="A154" s="388"/>
      <c r="B154" s="248" t="s">
        <v>49</v>
      </c>
      <c r="C154" s="255"/>
      <c r="D154" s="255"/>
      <c r="E154" s="263" t="e">
        <f t="shared" si="12"/>
        <v>#DIV/0!</v>
      </c>
    </row>
    <row r="155" spans="1:5" x14ac:dyDescent="0.25">
      <c r="A155" s="388"/>
      <c r="B155" s="248" t="s">
        <v>48</v>
      </c>
      <c r="C155" s="255"/>
      <c r="D155" s="255"/>
      <c r="E155" s="263" t="e">
        <f t="shared" si="12"/>
        <v>#DIV/0!</v>
      </c>
    </row>
    <row r="156" spans="1:5" ht="15.75" thickBot="1" x14ac:dyDescent="0.3">
      <c r="A156" s="388"/>
      <c r="B156" s="261" t="s">
        <v>50</v>
      </c>
      <c r="C156" s="38"/>
      <c r="D156" s="38"/>
      <c r="E156" s="263" t="e">
        <f>C156/(C156+D156)</f>
        <v>#DIV/0!</v>
      </c>
    </row>
    <row r="157" spans="1:5" ht="16.5" thickTop="1" thickBot="1" x14ac:dyDescent="0.3">
      <c r="A157" s="389"/>
      <c r="B157" s="262" t="s">
        <v>53</v>
      </c>
      <c r="C157" s="259">
        <f>SUM(C147:C156)</f>
        <v>0</v>
      </c>
      <c r="D157" s="259">
        <f>SUM(D147:D156)</f>
        <v>0</v>
      </c>
      <c r="E157" s="265"/>
    </row>
  </sheetData>
  <mergeCells count="12">
    <mergeCell ref="A3:A14"/>
    <mergeCell ref="A16:A27"/>
    <mergeCell ref="A29:A40"/>
    <mergeCell ref="A42:A53"/>
    <mergeCell ref="A55:A66"/>
    <mergeCell ref="A68:A79"/>
    <mergeCell ref="A146:A157"/>
    <mergeCell ref="A81:A92"/>
    <mergeCell ref="A94:A105"/>
    <mergeCell ref="A107:A118"/>
    <mergeCell ref="A120:A131"/>
    <mergeCell ref="A133:A144"/>
  </mergeCell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1588-D8D5-4E80-9492-D30D011BF5C3}">
  <sheetPr>
    <tabColor theme="4" tint="0.39997558519241921"/>
  </sheetPr>
  <dimension ref="B1:AJ22"/>
  <sheetViews>
    <sheetView topLeftCell="R1" workbookViewId="0">
      <selection activeCell="L28" sqref="L28"/>
    </sheetView>
  </sheetViews>
  <sheetFormatPr defaultRowHeight="15.75" x14ac:dyDescent="0.25"/>
  <cols>
    <col min="1" max="1" width="0.875" customWidth="1"/>
    <col min="2" max="2" width="10.125" customWidth="1"/>
    <col min="3" max="6" width="7.125" style="17" customWidth="1"/>
    <col min="7" max="8" width="14.625" style="17" customWidth="1"/>
    <col min="9" max="9" width="7.125" style="17" customWidth="1"/>
    <col min="10" max="13" width="10.25" style="17" customWidth="1"/>
    <col min="14" max="14" width="11.875" style="17" customWidth="1"/>
    <col min="15" max="15" width="12.375" style="17" customWidth="1"/>
    <col min="16" max="16" width="4.625" customWidth="1"/>
    <col min="17" max="24" width="11.375" style="17" customWidth="1"/>
    <col min="25" max="25" width="3.375" customWidth="1"/>
    <col min="26" max="31" width="14.75" style="17" customWidth="1"/>
    <col min="32" max="32" width="3.875" customWidth="1"/>
    <col min="33" max="36" width="13.125" customWidth="1"/>
  </cols>
  <sheetData>
    <row r="1" spans="2:36" x14ac:dyDescent="0.25">
      <c r="B1" s="390" t="s">
        <v>118</v>
      </c>
      <c r="C1" s="390"/>
      <c r="D1" s="390"/>
      <c r="E1" s="390"/>
      <c r="F1" s="390"/>
      <c r="G1" s="390"/>
      <c r="H1" s="390"/>
      <c r="I1" s="390"/>
      <c r="J1" s="390"/>
      <c r="K1" s="390"/>
      <c r="L1" s="390"/>
      <c r="M1" s="390"/>
      <c r="N1" s="390"/>
      <c r="O1" s="390"/>
      <c r="Q1" s="391" t="s">
        <v>96</v>
      </c>
      <c r="R1" s="391"/>
      <c r="S1" s="391"/>
      <c r="T1" s="391"/>
      <c r="U1" s="391"/>
      <c r="V1" s="391"/>
      <c r="W1" s="391"/>
      <c r="X1" s="391"/>
      <c r="Z1" s="392" t="s">
        <v>112</v>
      </c>
      <c r="AA1" s="392"/>
      <c r="AB1" s="392"/>
      <c r="AC1" s="392"/>
      <c r="AD1" s="392"/>
      <c r="AE1" s="219"/>
      <c r="AG1" s="393" t="s">
        <v>117</v>
      </c>
      <c r="AH1" s="393"/>
      <c r="AI1" s="393"/>
      <c r="AJ1" s="393"/>
    </row>
    <row r="2" spans="2:36" ht="30" x14ac:dyDescent="0.25">
      <c r="B2" s="280" t="s">
        <v>119</v>
      </c>
      <c r="C2" s="280" t="s">
        <v>61</v>
      </c>
      <c r="D2" s="280" t="s">
        <v>120</v>
      </c>
      <c r="E2" s="281" t="s">
        <v>5</v>
      </c>
      <c r="F2" s="280" t="s">
        <v>121</v>
      </c>
      <c r="G2" s="280" t="s">
        <v>62</v>
      </c>
      <c r="H2" s="280" t="s">
        <v>9</v>
      </c>
      <c r="I2" s="280" t="s">
        <v>63</v>
      </c>
      <c r="J2" s="280" t="s">
        <v>64</v>
      </c>
      <c r="K2" s="282" t="s">
        <v>122</v>
      </c>
      <c r="L2" s="283" t="s">
        <v>123</v>
      </c>
      <c r="M2" s="280" t="s">
        <v>65</v>
      </c>
      <c r="N2" s="280" t="s">
        <v>66</v>
      </c>
      <c r="O2" s="280" t="s">
        <v>124</v>
      </c>
      <c r="Q2" s="303" t="s">
        <v>119</v>
      </c>
      <c r="R2" s="303" t="s">
        <v>92</v>
      </c>
      <c r="S2" s="303" t="s">
        <v>93</v>
      </c>
      <c r="T2" s="303" t="s">
        <v>53</v>
      </c>
      <c r="U2" s="304" t="s">
        <v>125</v>
      </c>
      <c r="V2" s="303" t="s">
        <v>95</v>
      </c>
      <c r="W2" s="304" t="s">
        <v>35</v>
      </c>
      <c r="X2" s="304" t="s">
        <v>126</v>
      </c>
      <c r="Z2" s="308" t="s">
        <v>119</v>
      </c>
      <c r="AA2" s="308" t="s">
        <v>127</v>
      </c>
      <c r="AB2" s="308" t="s">
        <v>128</v>
      </c>
      <c r="AC2" s="309" t="s">
        <v>111</v>
      </c>
      <c r="AD2" s="308" t="s">
        <v>37</v>
      </c>
      <c r="AE2" s="309" t="s">
        <v>126</v>
      </c>
      <c r="AG2" s="310" t="s">
        <v>115</v>
      </c>
      <c r="AH2" s="310" t="s">
        <v>116</v>
      </c>
      <c r="AI2" s="310" t="s">
        <v>117</v>
      </c>
      <c r="AJ2" s="310" t="s">
        <v>126</v>
      </c>
    </row>
    <row r="3" spans="2:36" x14ac:dyDescent="0.25">
      <c r="B3" s="285" t="s">
        <v>67</v>
      </c>
      <c r="C3" s="287"/>
      <c r="D3" s="287"/>
      <c r="E3" s="287"/>
      <c r="F3" s="287"/>
      <c r="G3" s="287">
        <f>C3+D3+E3+F3</f>
        <v>0</v>
      </c>
      <c r="H3" s="287"/>
      <c r="I3" s="288">
        <f>G3+H3</f>
        <v>0</v>
      </c>
      <c r="J3" s="289"/>
      <c r="K3" s="289"/>
      <c r="L3" s="289"/>
      <c r="M3" s="290"/>
      <c r="N3" s="298">
        <v>28074.67</v>
      </c>
      <c r="O3" s="291">
        <f>M3-N3</f>
        <v>-28074.67</v>
      </c>
      <c r="Q3" s="209" t="s">
        <v>67</v>
      </c>
      <c r="R3" s="103"/>
      <c r="S3" s="104"/>
      <c r="T3" s="103">
        <f t="shared" ref="T3:T14" si="0">SUM(R3+S3)</f>
        <v>0</v>
      </c>
      <c r="U3" s="105">
        <f t="shared" ref="U3:U14" si="1">1880/12</f>
        <v>156.66666666666666</v>
      </c>
      <c r="V3" s="105">
        <f t="shared" ref="V3:V14" si="2">MAX(U3-T3, 0)</f>
        <v>156.66666666666666</v>
      </c>
      <c r="W3" s="106">
        <f>R3/U3</f>
        <v>0</v>
      </c>
      <c r="X3" s="306">
        <v>0.8</v>
      </c>
      <c r="Z3" s="220" t="s">
        <v>67</v>
      </c>
      <c r="AA3" s="220"/>
      <c r="AB3" s="221"/>
      <c r="AC3" s="221"/>
      <c r="AD3" s="222" t="e">
        <f t="shared" ref="AD3:AD14" si="3">(AA3)/(AA3+AB3+AC3)</f>
        <v>#DIV/0!</v>
      </c>
      <c r="AE3" s="223">
        <v>0.8</v>
      </c>
      <c r="AG3" s="210"/>
      <c r="AH3" s="210"/>
      <c r="AI3" s="211" t="e">
        <f>AG3/(AG3+AH3)</f>
        <v>#DIV/0!</v>
      </c>
      <c r="AJ3" s="212">
        <v>0.8</v>
      </c>
    </row>
    <row r="4" spans="2:36" x14ac:dyDescent="0.25">
      <c r="B4" s="286" t="s">
        <v>75</v>
      </c>
      <c r="C4" s="292"/>
      <c r="D4" s="292"/>
      <c r="E4" s="292"/>
      <c r="F4" s="292"/>
      <c r="G4" s="292">
        <f t="shared" ref="G4:G14" si="4">C4+D4+E4+F4</f>
        <v>0</v>
      </c>
      <c r="H4" s="292"/>
      <c r="I4" s="293">
        <f t="shared" ref="I4:I14" si="5">G4+H4</f>
        <v>0</v>
      </c>
      <c r="J4" s="294"/>
      <c r="K4" s="294"/>
      <c r="L4" s="294"/>
      <c r="M4" s="295"/>
      <c r="N4" s="296">
        <v>28074.67</v>
      </c>
      <c r="O4" s="297">
        <f t="shared" ref="O4:O14" si="6">M4-N4</f>
        <v>-28074.67</v>
      </c>
      <c r="Q4" s="213" t="s">
        <v>75</v>
      </c>
      <c r="R4" s="100"/>
      <c r="S4" s="101"/>
      <c r="T4" s="100">
        <f t="shared" si="0"/>
        <v>0</v>
      </c>
      <c r="U4" s="102">
        <f t="shared" si="1"/>
        <v>156.66666666666666</v>
      </c>
      <c r="V4" s="102">
        <f t="shared" si="2"/>
        <v>156.66666666666666</v>
      </c>
      <c r="W4" s="107">
        <f t="shared" ref="W4:W14" si="7">R4/U4</f>
        <v>0</v>
      </c>
      <c r="X4" s="305">
        <v>0.8</v>
      </c>
      <c r="Z4" s="224" t="s">
        <v>75</v>
      </c>
      <c r="AA4" s="224"/>
      <c r="AB4" s="208"/>
      <c r="AC4" s="208"/>
      <c r="AD4" s="206" t="e">
        <f t="shared" si="3"/>
        <v>#DIV/0!</v>
      </c>
      <c r="AE4" s="225">
        <v>0.8</v>
      </c>
      <c r="AG4" s="214"/>
      <c r="AH4" s="214"/>
      <c r="AI4" s="215" t="e">
        <f t="shared" ref="AI4:AI14" si="8">AG4/(AG4+AH4)</f>
        <v>#DIV/0!</v>
      </c>
      <c r="AJ4" s="216">
        <v>0.8</v>
      </c>
    </row>
    <row r="5" spans="2:36" x14ac:dyDescent="0.25">
      <c r="B5" s="285" t="s">
        <v>76</v>
      </c>
      <c r="C5" s="287"/>
      <c r="D5" s="287"/>
      <c r="E5" s="287"/>
      <c r="F5" s="287"/>
      <c r="G5" s="287">
        <f t="shared" si="4"/>
        <v>0</v>
      </c>
      <c r="H5" s="287"/>
      <c r="I5" s="288">
        <f t="shared" si="5"/>
        <v>0</v>
      </c>
      <c r="J5" s="289"/>
      <c r="K5" s="289"/>
      <c r="L5" s="289"/>
      <c r="M5" s="290"/>
      <c r="N5" s="298">
        <v>28074.67</v>
      </c>
      <c r="O5" s="291">
        <f t="shared" si="6"/>
        <v>-28074.67</v>
      </c>
      <c r="Q5" s="209" t="s">
        <v>76</v>
      </c>
      <c r="R5" s="103"/>
      <c r="S5" s="104"/>
      <c r="T5" s="103">
        <f t="shared" si="0"/>
        <v>0</v>
      </c>
      <c r="U5" s="105">
        <v>156.66999999999999</v>
      </c>
      <c r="V5" s="105">
        <f t="shared" si="2"/>
        <v>156.66999999999999</v>
      </c>
      <c r="W5" s="106">
        <f t="shared" si="7"/>
        <v>0</v>
      </c>
      <c r="X5" s="306">
        <v>0.8</v>
      </c>
      <c r="Z5" s="220" t="s">
        <v>76</v>
      </c>
      <c r="AA5" s="220"/>
      <c r="AB5" s="221"/>
      <c r="AC5" s="221"/>
      <c r="AD5" s="222" t="e">
        <f t="shared" si="3"/>
        <v>#DIV/0!</v>
      </c>
      <c r="AE5" s="223">
        <v>0.8</v>
      </c>
      <c r="AG5" s="210"/>
      <c r="AH5" s="210"/>
      <c r="AI5" s="211" t="e">
        <f t="shared" si="8"/>
        <v>#DIV/0!</v>
      </c>
      <c r="AJ5" s="212">
        <v>0.8</v>
      </c>
    </row>
    <row r="6" spans="2:36" x14ac:dyDescent="0.25">
      <c r="B6" s="286" t="s">
        <v>78</v>
      </c>
      <c r="C6" s="292"/>
      <c r="D6" s="292"/>
      <c r="E6" s="292"/>
      <c r="F6" s="292"/>
      <c r="G6" s="292">
        <f t="shared" si="4"/>
        <v>0</v>
      </c>
      <c r="H6" s="292"/>
      <c r="I6" s="293">
        <f t="shared" si="5"/>
        <v>0</v>
      </c>
      <c r="J6" s="294"/>
      <c r="K6" s="294"/>
      <c r="L6" s="294"/>
      <c r="M6" s="295"/>
      <c r="N6" s="296">
        <v>28074.67</v>
      </c>
      <c r="O6" s="297">
        <f t="shared" si="6"/>
        <v>-28074.67</v>
      </c>
      <c r="Q6" s="213" t="s">
        <v>78</v>
      </c>
      <c r="R6" s="100"/>
      <c r="S6" s="101"/>
      <c r="T6" s="100">
        <f t="shared" si="0"/>
        <v>0</v>
      </c>
      <c r="U6" s="102">
        <f t="shared" si="1"/>
        <v>156.66666666666666</v>
      </c>
      <c r="V6" s="102">
        <f t="shared" si="2"/>
        <v>156.66666666666666</v>
      </c>
      <c r="W6" s="107">
        <f t="shared" si="7"/>
        <v>0</v>
      </c>
      <c r="X6" s="305">
        <v>0.8</v>
      </c>
      <c r="Z6" s="224" t="s">
        <v>78</v>
      </c>
      <c r="AA6" s="224"/>
      <c r="AB6" s="208"/>
      <c r="AC6" s="208"/>
      <c r="AD6" s="206" t="e">
        <f t="shared" si="3"/>
        <v>#DIV/0!</v>
      </c>
      <c r="AE6" s="225">
        <v>0.8</v>
      </c>
      <c r="AG6" s="214"/>
      <c r="AH6" s="214"/>
      <c r="AI6" s="215" t="e">
        <f t="shared" si="8"/>
        <v>#DIV/0!</v>
      </c>
      <c r="AJ6" s="216">
        <v>0.8</v>
      </c>
    </row>
    <row r="7" spans="2:36" x14ac:dyDescent="0.25">
      <c r="B7" s="285" t="s">
        <v>79</v>
      </c>
      <c r="C7" s="287"/>
      <c r="D7" s="287"/>
      <c r="E7" s="287"/>
      <c r="F7" s="287"/>
      <c r="G7" s="287">
        <f t="shared" si="4"/>
        <v>0</v>
      </c>
      <c r="H7" s="287"/>
      <c r="I7" s="288">
        <f t="shared" si="5"/>
        <v>0</v>
      </c>
      <c r="J7" s="289"/>
      <c r="K7" s="289"/>
      <c r="L7" s="289"/>
      <c r="M7" s="290"/>
      <c r="N7" s="298">
        <v>28074.67</v>
      </c>
      <c r="O7" s="291">
        <f t="shared" si="6"/>
        <v>-28074.67</v>
      </c>
      <c r="Q7" s="209" t="s">
        <v>79</v>
      </c>
      <c r="R7" s="103"/>
      <c r="S7" s="104"/>
      <c r="T7" s="103">
        <f t="shared" si="0"/>
        <v>0</v>
      </c>
      <c r="U7" s="105">
        <f t="shared" si="1"/>
        <v>156.66666666666666</v>
      </c>
      <c r="V7" s="105">
        <f t="shared" si="2"/>
        <v>156.66666666666666</v>
      </c>
      <c r="W7" s="106">
        <f t="shared" si="7"/>
        <v>0</v>
      </c>
      <c r="X7" s="306">
        <v>0.8</v>
      </c>
      <c r="Z7" s="220" t="s">
        <v>79</v>
      </c>
      <c r="AA7" s="220"/>
      <c r="AB7" s="221"/>
      <c r="AC7" s="221"/>
      <c r="AD7" s="222" t="e">
        <f t="shared" si="3"/>
        <v>#DIV/0!</v>
      </c>
      <c r="AE7" s="223">
        <v>0.8</v>
      </c>
      <c r="AG7" s="210"/>
      <c r="AH7" s="210"/>
      <c r="AI7" s="211" t="e">
        <f t="shared" si="8"/>
        <v>#DIV/0!</v>
      </c>
      <c r="AJ7" s="212">
        <v>0.8</v>
      </c>
    </row>
    <row r="8" spans="2:36" x14ac:dyDescent="0.25">
      <c r="B8" s="286" t="s">
        <v>80</v>
      </c>
      <c r="C8" s="292"/>
      <c r="D8" s="292"/>
      <c r="E8" s="292"/>
      <c r="F8" s="292"/>
      <c r="G8" s="292">
        <f t="shared" si="4"/>
        <v>0</v>
      </c>
      <c r="H8" s="292"/>
      <c r="I8" s="293">
        <f t="shared" si="5"/>
        <v>0</v>
      </c>
      <c r="J8" s="294"/>
      <c r="K8" s="294"/>
      <c r="L8" s="294"/>
      <c r="M8" s="295"/>
      <c r="N8" s="296">
        <v>28074.67</v>
      </c>
      <c r="O8" s="297">
        <f t="shared" si="6"/>
        <v>-28074.67</v>
      </c>
      <c r="Q8" s="213" t="s">
        <v>80</v>
      </c>
      <c r="R8" s="100"/>
      <c r="S8" s="101"/>
      <c r="T8" s="100">
        <f t="shared" si="0"/>
        <v>0</v>
      </c>
      <c r="U8" s="102">
        <f t="shared" si="1"/>
        <v>156.66666666666666</v>
      </c>
      <c r="V8" s="102">
        <f t="shared" si="2"/>
        <v>156.66666666666666</v>
      </c>
      <c r="W8" s="107">
        <f t="shared" si="7"/>
        <v>0</v>
      </c>
      <c r="X8" s="305">
        <v>0.8</v>
      </c>
      <c r="Z8" s="224" t="s">
        <v>80</v>
      </c>
      <c r="AA8" s="224"/>
      <c r="AB8" s="208"/>
      <c r="AC8" s="208"/>
      <c r="AD8" s="206" t="e">
        <f t="shared" si="3"/>
        <v>#DIV/0!</v>
      </c>
      <c r="AE8" s="225">
        <v>0.8</v>
      </c>
      <c r="AG8" s="214"/>
      <c r="AH8" s="214"/>
      <c r="AI8" s="215" t="e">
        <f t="shared" si="8"/>
        <v>#DIV/0!</v>
      </c>
      <c r="AJ8" s="216">
        <v>0.8</v>
      </c>
    </row>
    <row r="9" spans="2:36" x14ac:dyDescent="0.25">
      <c r="B9" s="285" t="s">
        <v>81</v>
      </c>
      <c r="C9" s="287"/>
      <c r="D9" s="287"/>
      <c r="E9" s="287"/>
      <c r="F9" s="287"/>
      <c r="G9" s="287">
        <f t="shared" si="4"/>
        <v>0</v>
      </c>
      <c r="H9" s="287"/>
      <c r="I9" s="288">
        <f t="shared" si="5"/>
        <v>0</v>
      </c>
      <c r="J9" s="289"/>
      <c r="K9" s="289"/>
      <c r="L9" s="289"/>
      <c r="M9" s="290"/>
      <c r="N9" s="298">
        <v>28074.67</v>
      </c>
      <c r="O9" s="291">
        <f t="shared" si="6"/>
        <v>-28074.67</v>
      </c>
      <c r="Q9" s="209" t="s">
        <v>81</v>
      </c>
      <c r="R9" s="103"/>
      <c r="S9" s="104"/>
      <c r="T9" s="103">
        <f t="shared" si="0"/>
        <v>0</v>
      </c>
      <c r="U9" s="105">
        <f t="shared" si="1"/>
        <v>156.66666666666666</v>
      </c>
      <c r="V9" s="105">
        <f t="shared" si="2"/>
        <v>156.66666666666666</v>
      </c>
      <c r="W9" s="106">
        <f t="shared" si="7"/>
        <v>0</v>
      </c>
      <c r="X9" s="306">
        <v>0.8</v>
      </c>
      <c r="Z9" s="220" t="s">
        <v>81</v>
      </c>
      <c r="AA9" s="220"/>
      <c r="AB9" s="221"/>
      <c r="AC9" s="221"/>
      <c r="AD9" s="222" t="e">
        <f t="shared" si="3"/>
        <v>#DIV/0!</v>
      </c>
      <c r="AE9" s="223">
        <v>0.8</v>
      </c>
      <c r="AG9" s="210"/>
      <c r="AH9" s="210"/>
      <c r="AI9" s="211" t="e">
        <f t="shared" si="8"/>
        <v>#DIV/0!</v>
      </c>
      <c r="AJ9" s="212">
        <v>0.8</v>
      </c>
    </row>
    <row r="10" spans="2:36" x14ac:dyDescent="0.25">
      <c r="B10" s="286" t="s">
        <v>82</v>
      </c>
      <c r="C10" s="292"/>
      <c r="D10" s="292"/>
      <c r="E10" s="292"/>
      <c r="F10" s="292"/>
      <c r="G10" s="292">
        <f t="shared" si="4"/>
        <v>0</v>
      </c>
      <c r="H10" s="292"/>
      <c r="I10" s="293">
        <f t="shared" si="5"/>
        <v>0</v>
      </c>
      <c r="J10" s="294"/>
      <c r="K10" s="294"/>
      <c r="L10" s="294"/>
      <c r="M10" s="295"/>
      <c r="N10" s="296">
        <v>28074.67</v>
      </c>
      <c r="O10" s="297">
        <f t="shared" si="6"/>
        <v>-28074.67</v>
      </c>
      <c r="Q10" s="213" t="s">
        <v>82</v>
      </c>
      <c r="R10" s="100"/>
      <c r="S10" s="101"/>
      <c r="T10" s="100">
        <f t="shared" si="0"/>
        <v>0</v>
      </c>
      <c r="U10" s="102">
        <f t="shared" si="1"/>
        <v>156.66666666666666</v>
      </c>
      <c r="V10" s="102">
        <f t="shared" si="2"/>
        <v>156.66666666666666</v>
      </c>
      <c r="W10" s="107">
        <f t="shared" si="7"/>
        <v>0</v>
      </c>
      <c r="X10" s="305">
        <v>0.8</v>
      </c>
      <c r="Z10" s="224" t="s">
        <v>82</v>
      </c>
      <c r="AA10" s="224"/>
      <c r="AB10" s="208"/>
      <c r="AC10" s="208"/>
      <c r="AD10" s="206" t="e">
        <f t="shared" si="3"/>
        <v>#DIV/0!</v>
      </c>
      <c r="AE10" s="225">
        <v>0.8</v>
      </c>
      <c r="AG10" s="214"/>
      <c r="AH10" s="214"/>
      <c r="AI10" s="215" t="e">
        <f t="shared" si="8"/>
        <v>#DIV/0!</v>
      </c>
      <c r="AJ10" s="216">
        <v>0.8</v>
      </c>
    </row>
    <row r="11" spans="2:36" x14ac:dyDescent="0.25">
      <c r="B11" s="285" t="s">
        <v>84</v>
      </c>
      <c r="C11" s="287"/>
      <c r="D11" s="287"/>
      <c r="E11" s="287"/>
      <c r="F11" s="287"/>
      <c r="G11" s="287">
        <f t="shared" si="4"/>
        <v>0</v>
      </c>
      <c r="H11" s="287"/>
      <c r="I11" s="288">
        <f t="shared" si="5"/>
        <v>0</v>
      </c>
      <c r="J11" s="289"/>
      <c r="K11" s="289"/>
      <c r="L11" s="289"/>
      <c r="M11" s="290"/>
      <c r="N11" s="298">
        <v>28074.67</v>
      </c>
      <c r="O11" s="291">
        <f t="shared" si="6"/>
        <v>-28074.67</v>
      </c>
      <c r="Q11" s="209" t="s">
        <v>84</v>
      </c>
      <c r="R11" s="103"/>
      <c r="S11" s="104"/>
      <c r="T11" s="103">
        <f t="shared" si="0"/>
        <v>0</v>
      </c>
      <c r="U11" s="105">
        <f t="shared" si="1"/>
        <v>156.66666666666666</v>
      </c>
      <c r="V11" s="105">
        <f t="shared" si="2"/>
        <v>156.66666666666666</v>
      </c>
      <c r="W11" s="106">
        <f t="shared" si="7"/>
        <v>0</v>
      </c>
      <c r="X11" s="306">
        <v>0.8</v>
      </c>
      <c r="Z11" s="220" t="s">
        <v>84</v>
      </c>
      <c r="AA11" s="220"/>
      <c r="AB11" s="221"/>
      <c r="AC11" s="221"/>
      <c r="AD11" s="222" t="e">
        <f t="shared" si="3"/>
        <v>#DIV/0!</v>
      </c>
      <c r="AE11" s="223">
        <v>0.8</v>
      </c>
      <c r="AG11" s="210"/>
      <c r="AH11" s="210"/>
      <c r="AI11" s="211" t="e">
        <f t="shared" si="8"/>
        <v>#DIV/0!</v>
      </c>
      <c r="AJ11" s="212">
        <v>0.8</v>
      </c>
    </row>
    <row r="12" spans="2:36" x14ac:dyDescent="0.25">
      <c r="B12" s="286" t="s">
        <v>86</v>
      </c>
      <c r="C12" s="292"/>
      <c r="D12" s="292"/>
      <c r="E12" s="292"/>
      <c r="F12" s="292"/>
      <c r="G12" s="292">
        <f t="shared" si="4"/>
        <v>0</v>
      </c>
      <c r="H12" s="292"/>
      <c r="I12" s="293">
        <f t="shared" si="5"/>
        <v>0</v>
      </c>
      <c r="J12" s="294"/>
      <c r="K12" s="294"/>
      <c r="L12" s="294"/>
      <c r="M12" s="295"/>
      <c r="N12" s="296">
        <v>28074.67</v>
      </c>
      <c r="O12" s="297">
        <f t="shared" si="6"/>
        <v>-28074.67</v>
      </c>
      <c r="Q12" s="213" t="s">
        <v>129</v>
      </c>
      <c r="R12" s="100"/>
      <c r="S12" s="101"/>
      <c r="T12" s="100">
        <f t="shared" si="0"/>
        <v>0</v>
      </c>
      <c r="U12" s="102">
        <f t="shared" si="1"/>
        <v>156.66666666666666</v>
      </c>
      <c r="V12" s="102">
        <f t="shared" si="2"/>
        <v>156.66666666666666</v>
      </c>
      <c r="W12" s="107">
        <f t="shared" si="7"/>
        <v>0</v>
      </c>
      <c r="X12" s="305">
        <v>0.8</v>
      </c>
      <c r="Z12" s="224" t="s">
        <v>129</v>
      </c>
      <c r="AA12" s="224"/>
      <c r="AB12" s="208"/>
      <c r="AC12" s="208"/>
      <c r="AD12" s="206" t="e">
        <f t="shared" si="3"/>
        <v>#DIV/0!</v>
      </c>
      <c r="AE12" s="225">
        <v>0.8</v>
      </c>
      <c r="AG12" s="214"/>
      <c r="AH12" s="214"/>
      <c r="AI12" s="215" t="e">
        <f t="shared" si="8"/>
        <v>#DIV/0!</v>
      </c>
      <c r="AJ12" s="216">
        <v>0.8</v>
      </c>
    </row>
    <row r="13" spans="2:36" x14ac:dyDescent="0.25">
      <c r="B13" s="285" t="s">
        <v>89</v>
      </c>
      <c r="C13" s="287"/>
      <c r="D13" s="287"/>
      <c r="E13" s="287"/>
      <c r="F13" s="287"/>
      <c r="G13" s="287">
        <f t="shared" si="4"/>
        <v>0</v>
      </c>
      <c r="H13" s="287"/>
      <c r="I13" s="288">
        <f t="shared" si="5"/>
        <v>0</v>
      </c>
      <c r="J13" s="289"/>
      <c r="K13" s="289"/>
      <c r="L13" s="289"/>
      <c r="M13" s="290"/>
      <c r="N13" s="298">
        <v>28074.67</v>
      </c>
      <c r="O13" s="291">
        <f t="shared" si="6"/>
        <v>-28074.67</v>
      </c>
      <c r="Q13" s="209" t="s">
        <v>89</v>
      </c>
      <c r="R13" s="103"/>
      <c r="S13" s="104"/>
      <c r="T13" s="103">
        <f t="shared" si="0"/>
        <v>0</v>
      </c>
      <c r="U13" s="105">
        <f t="shared" si="1"/>
        <v>156.66666666666666</v>
      </c>
      <c r="V13" s="105">
        <f t="shared" si="2"/>
        <v>156.66666666666666</v>
      </c>
      <c r="W13" s="106">
        <f t="shared" si="7"/>
        <v>0</v>
      </c>
      <c r="X13" s="306">
        <v>0.8</v>
      </c>
      <c r="Z13" s="220" t="s">
        <v>89</v>
      </c>
      <c r="AA13" s="220"/>
      <c r="AB13" s="221"/>
      <c r="AC13" s="221"/>
      <c r="AD13" s="222" t="e">
        <f t="shared" si="3"/>
        <v>#DIV/0!</v>
      </c>
      <c r="AE13" s="223">
        <v>0.8</v>
      </c>
      <c r="AG13" s="210"/>
      <c r="AH13" s="210"/>
      <c r="AI13" s="211" t="e">
        <f t="shared" si="8"/>
        <v>#DIV/0!</v>
      </c>
      <c r="AJ13" s="212">
        <v>0.8</v>
      </c>
    </row>
    <row r="14" spans="2:36" x14ac:dyDescent="0.25">
      <c r="B14" s="286" t="s">
        <v>90</v>
      </c>
      <c r="C14" s="292"/>
      <c r="D14" s="292"/>
      <c r="E14" s="292"/>
      <c r="F14" s="292"/>
      <c r="G14" s="292">
        <f t="shared" si="4"/>
        <v>0</v>
      </c>
      <c r="H14" s="292"/>
      <c r="I14" s="293">
        <f t="shared" si="5"/>
        <v>0</v>
      </c>
      <c r="J14" s="294"/>
      <c r="K14" s="294"/>
      <c r="L14" s="294"/>
      <c r="M14" s="295"/>
      <c r="N14" s="296">
        <v>28074.67</v>
      </c>
      <c r="O14" s="297">
        <f t="shared" si="6"/>
        <v>-28074.67</v>
      </c>
      <c r="Q14" s="213" t="s">
        <v>90</v>
      </c>
      <c r="R14" s="100"/>
      <c r="S14" s="101"/>
      <c r="T14" s="100">
        <f t="shared" si="0"/>
        <v>0</v>
      </c>
      <c r="U14" s="102">
        <f t="shared" si="1"/>
        <v>156.66666666666666</v>
      </c>
      <c r="V14" s="102">
        <f t="shared" si="2"/>
        <v>156.66666666666666</v>
      </c>
      <c r="W14" s="107">
        <f t="shared" si="7"/>
        <v>0</v>
      </c>
      <c r="X14" s="305">
        <v>0.8</v>
      </c>
      <c r="Z14" s="224" t="s">
        <v>90</v>
      </c>
      <c r="AA14" s="224"/>
      <c r="AB14" s="208"/>
      <c r="AC14" s="208"/>
      <c r="AD14" s="206" t="e">
        <f t="shared" si="3"/>
        <v>#DIV/0!</v>
      </c>
      <c r="AE14" s="225">
        <v>0.8</v>
      </c>
      <c r="AG14" s="214"/>
      <c r="AH14" s="214"/>
      <c r="AI14" s="215" t="e">
        <f t="shared" si="8"/>
        <v>#DIV/0!</v>
      </c>
      <c r="AJ14" s="216">
        <v>0.8</v>
      </c>
    </row>
    <row r="15" spans="2:36" x14ac:dyDescent="0.25">
      <c r="B15" s="284" t="s">
        <v>53</v>
      </c>
      <c r="C15" s="299">
        <f t="shared" ref="C15:H15" si="9">SUM(C3:C14)</f>
        <v>0</v>
      </c>
      <c r="D15" s="299">
        <f t="shared" si="9"/>
        <v>0</v>
      </c>
      <c r="E15" s="299">
        <f t="shared" si="9"/>
        <v>0</v>
      </c>
      <c r="F15" s="299">
        <f t="shared" si="9"/>
        <v>0</v>
      </c>
      <c r="G15" s="299">
        <f t="shared" si="9"/>
        <v>0</v>
      </c>
      <c r="H15" s="299">
        <f t="shared" si="9"/>
        <v>0</v>
      </c>
      <c r="I15" s="299">
        <f t="shared" ref="I15:O15" si="10">SUM(I3:I14)</f>
        <v>0</v>
      </c>
      <c r="J15" s="300">
        <f t="shared" si="10"/>
        <v>0</v>
      </c>
      <c r="K15" s="300">
        <f t="shared" si="10"/>
        <v>0</v>
      </c>
      <c r="L15" s="300">
        <f t="shared" si="10"/>
        <v>0</v>
      </c>
      <c r="M15" s="300">
        <f t="shared" si="10"/>
        <v>0</v>
      </c>
      <c r="N15" s="301">
        <f t="shared" si="10"/>
        <v>336896.03999999986</v>
      </c>
      <c r="O15" s="302">
        <f t="shared" si="10"/>
        <v>-336896.03999999986</v>
      </c>
      <c r="Q15" s="35"/>
      <c r="R15" s="42"/>
      <c r="S15" s="35"/>
      <c r="T15" s="37"/>
      <c r="U15" s="37"/>
      <c r="V15" s="217"/>
      <c r="W15" s="218"/>
      <c r="X15" s="307"/>
    </row>
    <row r="17" spans="17:36" ht="15.6" customHeight="1" x14ac:dyDescent="0.25">
      <c r="Q17" s="394" t="s">
        <v>130</v>
      </c>
      <c r="R17" s="394"/>
      <c r="S17" s="394"/>
      <c r="T17" s="394"/>
      <c r="U17" s="394"/>
      <c r="V17" s="394"/>
      <c r="W17" s="394"/>
      <c r="X17" s="394"/>
      <c r="Z17" s="394" t="s">
        <v>131</v>
      </c>
      <c r="AA17" s="394"/>
      <c r="AB17" s="394"/>
      <c r="AC17" s="394"/>
      <c r="AD17" s="394"/>
      <c r="AE17" s="66"/>
      <c r="AG17" s="394" t="s">
        <v>132</v>
      </c>
      <c r="AH17" s="394"/>
      <c r="AI17" s="394"/>
      <c r="AJ17" s="394"/>
    </row>
    <row r="18" spans="17:36" x14ac:dyDescent="0.25">
      <c r="Q18" s="394"/>
      <c r="R18" s="394"/>
      <c r="S18" s="394"/>
      <c r="T18" s="394"/>
      <c r="U18" s="394"/>
      <c r="V18" s="394"/>
      <c r="W18" s="394"/>
      <c r="X18" s="394"/>
      <c r="Z18" s="394"/>
      <c r="AA18" s="394"/>
      <c r="AB18" s="394"/>
      <c r="AC18" s="394"/>
      <c r="AD18" s="394"/>
      <c r="AE18" s="66"/>
      <c r="AG18" s="394"/>
      <c r="AH18" s="394"/>
      <c r="AI18" s="394"/>
      <c r="AJ18" s="394"/>
    </row>
    <row r="19" spans="17:36" x14ac:dyDescent="0.25">
      <c r="Q19" s="394"/>
      <c r="R19" s="394"/>
      <c r="S19" s="394"/>
      <c r="T19" s="394"/>
      <c r="U19" s="394"/>
      <c r="V19" s="394"/>
      <c r="W19" s="394"/>
      <c r="X19" s="394"/>
      <c r="Z19" s="394"/>
      <c r="AA19" s="394"/>
      <c r="AB19" s="394"/>
      <c r="AC19" s="394"/>
      <c r="AD19" s="394"/>
      <c r="AE19" s="66"/>
      <c r="AG19" s="394"/>
      <c r="AH19" s="394"/>
      <c r="AI19" s="394"/>
      <c r="AJ19" s="394"/>
    </row>
    <row r="20" spans="17:36" x14ac:dyDescent="0.25">
      <c r="Q20" s="394"/>
      <c r="R20" s="394"/>
      <c r="S20" s="394"/>
      <c r="T20" s="394"/>
      <c r="U20" s="394"/>
      <c r="V20" s="394"/>
      <c r="W20" s="394"/>
      <c r="X20" s="394"/>
      <c r="Z20" s="394"/>
      <c r="AA20" s="394"/>
      <c r="AB20" s="394"/>
      <c r="AC20" s="394"/>
      <c r="AD20" s="394"/>
      <c r="AE20" s="66"/>
      <c r="AG20" s="394"/>
      <c r="AH20" s="394"/>
      <c r="AI20" s="394"/>
      <c r="AJ20" s="394"/>
    </row>
    <row r="21" spans="17:36" x14ac:dyDescent="0.25">
      <c r="Z21" s="394"/>
      <c r="AA21" s="394"/>
      <c r="AB21" s="394"/>
      <c r="AC21" s="394"/>
      <c r="AD21" s="394"/>
      <c r="AG21" s="394"/>
      <c r="AH21" s="394"/>
      <c r="AI21" s="394"/>
      <c r="AJ21" s="394"/>
    </row>
    <row r="22" spans="17:36" x14ac:dyDescent="0.25">
      <c r="Z22" s="394"/>
      <c r="AA22" s="394"/>
      <c r="AB22" s="394"/>
      <c r="AC22" s="394"/>
      <c r="AD22" s="394"/>
    </row>
  </sheetData>
  <mergeCells count="7">
    <mergeCell ref="B1:O1"/>
    <mergeCell ref="Q1:X1"/>
    <mergeCell ref="Z1:AD1"/>
    <mergeCell ref="AG1:AJ1"/>
    <mergeCell ref="Q17:X20"/>
    <mergeCell ref="Z17:AD22"/>
    <mergeCell ref="AG17:AJ2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6D36-6ADD-4BE9-AB0E-EF563C17FFCE}">
  <dimension ref="A1:O40"/>
  <sheetViews>
    <sheetView topLeftCell="A7" zoomScale="115" zoomScaleNormal="115" workbookViewId="0">
      <selection activeCell="F12" sqref="F12"/>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221</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f>500000/12</f>
        <v>41666.666666666664</v>
      </c>
      <c r="D6" s="69">
        <f>500000/12</f>
        <v>41666.666666666664</v>
      </c>
      <c r="E6" s="69">
        <f>500000/12</f>
        <v>41666.666666666664</v>
      </c>
      <c r="F6" s="69">
        <f t="shared" ref="F6:N6" si="0">500000/12</f>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si="0"/>
        <v>41666.666666666664</v>
      </c>
      <c r="N6" s="69">
        <f t="shared" si="0"/>
        <v>41666.666666666664</v>
      </c>
      <c r="O6" s="87"/>
    </row>
    <row r="7" spans="2:15" x14ac:dyDescent="0.25">
      <c r="B7" s="68" t="s">
        <v>147</v>
      </c>
      <c r="C7" s="70">
        <v>5</v>
      </c>
      <c r="D7" s="70">
        <v>5</v>
      </c>
      <c r="E7" s="70">
        <v>6</v>
      </c>
      <c r="F7" s="70">
        <v>6</v>
      </c>
      <c r="G7" s="70">
        <v>6</v>
      </c>
      <c r="H7" s="70">
        <v>5</v>
      </c>
      <c r="I7" s="70">
        <v>5</v>
      </c>
      <c r="J7" s="70">
        <v>5</v>
      </c>
      <c r="K7" s="70">
        <v>5</v>
      </c>
      <c r="L7" s="70">
        <v>5</v>
      </c>
      <c r="M7" s="70">
        <v>6</v>
      </c>
      <c r="N7" s="70">
        <v>7</v>
      </c>
      <c r="O7" s="68"/>
    </row>
    <row r="8" spans="2:15" x14ac:dyDescent="0.25">
      <c r="B8" s="68" t="s">
        <v>148</v>
      </c>
      <c r="C8" s="69">
        <f>C6/C7</f>
        <v>8333.3333333333321</v>
      </c>
      <c r="D8" s="69">
        <f>D6/D7</f>
        <v>8333.3333333333321</v>
      </c>
      <c r="E8" s="69">
        <f>E6/E7</f>
        <v>6944.4444444444443</v>
      </c>
      <c r="F8" s="69">
        <f t="shared" ref="F8:N8" si="1">F6/F7</f>
        <v>6944.4444444444443</v>
      </c>
      <c r="G8" s="69">
        <f t="shared" si="1"/>
        <v>6944.4444444444443</v>
      </c>
      <c r="H8" s="69">
        <f t="shared" si="1"/>
        <v>8333.3333333333321</v>
      </c>
      <c r="I8" s="69">
        <f t="shared" si="1"/>
        <v>8333.3333333333321</v>
      </c>
      <c r="J8" s="69">
        <f t="shared" si="1"/>
        <v>8333.3333333333321</v>
      </c>
      <c r="K8" s="69">
        <f t="shared" si="1"/>
        <v>8333.3333333333321</v>
      </c>
      <c r="L8" s="69">
        <f t="shared" si="1"/>
        <v>8333.3333333333321</v>
      </c>
      <c r="M8" s="69">
        <f t="shared" si="1"/>
        <v>6944.4444444444443</v>
      </c>
      <c r="N8" s="69">
        <f t="shared" si="1"/>
        <v>5952.3809523809523</v>
      </c>
      <c r="O8" s="87">
        <f>SUM(C8:N8)</f>
        <v>92063.492063492027</v>
      </c>
    </row>
    <row r="9" spans="2:15" x14ac:dyDescent="0.25">
      <c r="B9" s="68"/>
    </row>
    <row r="10" spans="2:15" x14ac:dyDescent="0.25">
      <c r="B10" s="67" t="s">
        <v>149</v>
      </c>
      <c r="C10" s="69">
        <v>332340</v>
      </c>
      <c r="D10" s="69"/>
    </row>
    <row r="11" spans="2:15" x14ac:dyDescent="0.25">
      <c r="B11" s="67" t="s">
        <v>150</v>
      </c>
      <c r="C11" s="69">
        <v>80000</v>
      </c>
      <c r="D11" s="226" t="s">
        <v>151</v>
      </c>
    </row>
    <row r="12" spans="2:15" x14ac:dyDescent="0.25">
      <c r="B12" s="67" t="s">
        <v>153</v>
      </c>
      <c r="C12" s="69"/>
      <c r="D12" s="69"/>
    </row>
    <row r="13" spans="2:15" x14ac:dyDescent="0.25">
      <c r="B13" s="71" t="s">
        <v>154</v>
      </c>
      <c r="C13" s="69">
        <f>0.17*(C10+C11)</f>
        <v>70097.8</v>
      </c>
      <c r="D13" s="69"/>
    </row>
    <row r="14" spans="2:15" x14ac:dyDescent="0.25">
      <c r="B14" s="67" t="s">
        <v>148</v>
      </c>
      <c r="C14" s="72">
        <f>O8</f>
        <v>92063.492063492027</v>
      </c>
      <c r="D14" s="69"/>
    </row>
    <row r="15" spans="2:15" x14ac:dyDescent="0.25">
      <c r="B15" s="68" t="s">
        <v>155</v>
      </c>
      <c r="C15" s="69">
        <f>SUM(C10:C14)</f>
        <v>574501.292063492</v>
      </c>
      <c r="D15" s="69"/>
    </row>
    <row r="16" spans="2:15" x14ac:dyDescent="0.25">
      <c r="B16" s="68"/>
    </row>
    <row r="17" spans="1:12" ht="15.75" thickBot="1" x14ac:dyDescent="0.3">
      <c r="B17" s="68"/>
      <c r="C17" s="73"/>
    </row>
    <row r="18" spans="1:12" x14ac:dyDescent="0.25">
      <c r="A18" s="74"/>
      <c r="B18" s="76" t="s">
        <v>156</v>
      </c>
      <c r="C18" s="77" t="s">
        <v>157</v>
      </c>
      <c r="D18" s="78" t="s">
        <v>158</v>
      </c>
      <c r="E18" s="79" t="s">
        <v>159</v>
      </c>
      <c r="F18" s="74"/>
      <c r="G18" s="74"/>
      <c r="H18" s="74"/>
    </row>
    <row r="19" spans="1:12" x14ac:dyDescent="0.25">
      <c r="A19" s="74"/>
      <c r="B19" s="81" t="s">
        <v>160</v>
      </c>
      <c r="C19" s="82">
        <v>0</v>
      </c>
      <c r="D19" s="83">
        <f>C15</f>
        <v>574501.292063492</v>
      </c>
      <c r="E19" s="84">
        <v>0</v>
      </c>
      <c r="F19" s="80"/>
      <c r="G19" s="148"/>
      <c r="H19" s="74"/>
    </row>
    <row r="20" spans="1:12" ht="15.75" x14ac:dyDescent="0.25">
      <c r="A20" s="74"/>
      <c r="B20" s="81" t="s">
        <v>161</v>
      </c>
      <c r="C20" s="82">
        <f>D19+0.01</f>
        <v>574501.30206349201</v>
      </c>
      <c r="D20" s="83">
        <f>C20+49999.99</f>
        <v>624501.292063492</v>
      </c>
      <c r="E20" s="84">
        <v>0.05</v>
      </c>
      <c r="F20" s="85"/>
      <c r="G20" s="86"/>
      <c r="H20" s="74"/>
    </row>
    <row r="21" spans="1:12" ht="15.75" x14ac:dyDescent="0.25">
      <c r="A21" s="74"/>
      <c r="B21" s="81" t="s">
        <v>162</v>
      </c>
      <c r="C21" s="82">
        <f>D20+0.01</f>
        <v>624501.30206349201</v>
      </c>
      <c r="D21" s="83">
        <f>C21+49999.99</f>
        <v>674501.292063492</v>
      </c>
      <c r="E21" s="84">
        <v>0.1</v>
      </c>
      <c r="F21" s="85"/>
      <c r="G21" s="86"/>
      <c r="H21" s="74"/>
    </row>
    <row r="22" spans="1:12" ht="16.5" thickBot="1" x14ac:dyDescent="0.3">
      <c r="A22" s="74"/>
      <c r="B22" s="122" t="s">
        <v>163</v>
      </c>
      <c r="C22" s="123">
        <f>D21+0.01</f>
        <v>674501.30206349201</v>
      </c>
      <c r="D22" s="124">
        <v>0</v>
      </c>
      <c r="E22" s="125">
        <v>0.15</v>
      </c>
      <c r="F22" s="85"/>
      <c r="G22" s="86"/>
      <c r="H22" s="74"/>
    </row>
    <row r="23" spans="1:12" ht="15.75" x14ac:dyDescent="0.25">
      <c r="A23" s="74"/>
      <c r="E23" s="139"/>
      <c r="F23" s="86"/>
      <c r="G23" s="86"/>
      <c r="H23" s="74"/>
    </row>
    <row r="24" spans="1:12" ht="15.75" thickBot="1" x14ac:dyDescent="0.3">
      <c r="A24" s="74"/>
      <c r="B24" s="74"/>
      <c r="C24" s="74"/>
      <c r="D24" s="74"/>
      <c r="E24" s="138"/>
      <c r="F24" s="87"/>
      <c r="G24" s="87"/>
      <c r="H24" s="74"/>
    </row>
    <row r="25" spans="1:12" x14ac:dyDescent="0.25">
      <c r="A25" s="74"/>
      <c r="B25" s="88" t="s">
        <v>119</v>
      </c>
      <c r="C25" s="89" t="s">
        <v>164</v>
      </c>
      <c r="D25" s="89" t="s">
        <v>165</v>
      </c>
      <c r="E25" s="90" t="s">
        <v>156</v>
      </c>
      <c r="F25" s="227" t="s">
        <v>166</v>
      </c>
      <c r="G25" s="91" t="s">
        <v>167</v>
      </c>
      <c r="H25" s="74"/>
    </row>
    <row r="26" spans="1:12" x14ac:dyDescent="0.25">
      <c r="A26" s="74"/>
      <c r="B26" s="92" t="s">
        <v>67</v>
      </c>
      <c r="C26" s="228">
        <f>'26 Compare'!N5+'26 Compare'!N11</f>
        <v>29172.05</v>
      </c>
      <c r="D26" s="93">
        <f>C26</f>
        <v>29172.05</v>
      </c>
      <c r="E26" s="94" t="str">
        <f t="shared" ref="E26:E37" si="2">IF(D26="-", "", IF(AND(D26&gt;=$C$19, D26&lt;=$D$19), $B$19, IF(AND(D26&gt;=$C$20, D26&lt;=$D$20), $B$20, IF(AND(D26&gt;=$C$21, D26&lt;=$D$21), $B$21, IF(D26&gt;=$C$22, $B$22, "")))))</f>
        <v>Bracket 1</v>
      </c>
      <c r="F26" s="95">
        <f t="shared" ref="F26:F37" si="3">IF(AND(D26&gt;=$C$19, D26&lt;=$D$19), $C$20-D26, IF(AND(D26&gt;=$C$20, D26&lt;=$D$20), $C$21-D26, IF(AND(D26&gt;=$C$21, D26&lt;=$D$21), $C$22-D26, IF(D26&gt;=$C$22, 0, ""))))</f>
        <v>545329.25206349196</v>
      </c>
      <c r="G26" s="96">
        <f>IF(C26="","-",
IF(D26&lt;=$D$19,0,
    0.05*MAX(0, MIN(D26,$D$20) - MAX(D26-C26,$C$20)) +
    0.1*MAX(0, MIN(D26,$D$21) - MAX(D26-C26,$C$21)) +
    0.15*MAX(0, D26 - MAX(D26-C26,$C$22))
))</f>
        <v>0</v>
      </c>
      <c r="H26" s="144" t="s">
        <v>48</v>
      </c>
    </row>
    <row r="27" spans="1:12" x14ac:dyDescent="0.25">
      <c r="A27" s="74"/>
      <c r="B27" s="92" t="s">
        <v>75</v>
      </c>
      <c r="C27" s="93" t="e">
        <f>'26 Compare'!#REF!+'26 Compare'!#REF!</f>
        <v>#REF!</v>
      </c>
      <c r="D27" s="93" t="e">
        <f>IF(OR(C27=0, C27=""), "-", D26+C27)</f>
        <v>#REF!</v>
      </c>
      <c r="E27" s="94" t="e">
        <f t="shared" si="2"/>
        <v>#REF!</v>
      </c>
      <c r="F27" s="95" t="e">
        <f t="shared" si="3"/>
        <v>#REF!</v>
      </c>
      <c r="G27" s="96" t="e">
        <f t="shared" ref="G27:G37" si="4">IF(C27="","-",
IF(D27&lt;=$D$19,0,
    0.05*MAX(0, MIN(D27,$D$20) - MAX(D27-C27,$C$20)) +
    0.1*MAX(0, MIN(D27,$D$21) - MAX(D27-C27,$C$21)) +
    0.15*MAX(0, D27 - MAX(D27-C27,$C$22))
))</f>
        <v>#REF!</v>
      </c>
      <c r="H27" s="144" t="s">
        <v>48</v>
      </c>
      <c r="L27" s="97"/>
    </row>
    <row r="28" spans="1:12" x14ac:dyDescent="0.25">
      <c r="A28" s="74"/>
      <c r="B28" s="92" t="s">
        <v>76</v>
      </c>
      <c r="C28" s="93" t="e">
        <f>'26 Compare'!#REF!+'26 Compare'!#REF!+('26 Compare'!#REF!*0.25)</f>
        <v>#REF!</v>
      </c>
      <c r="D28" s="93" t="e">
        <f t="shared" ref="D28:D37" si="5">IF(OR(C28=0, C28=""), "-", D27+C28)</f>
        <v>#REF!</v>
      </c>
      <c r="E28" s="94" t="e">
        <f t="shared" si="2"/>
        <v>#REF!</v>
      </c>
      <c r="F28" s="95" t="e">
        <f t="shared" si="3"/>
        <v>#REF!</v>
      </c>
      <c r="G28" s="96" t="e">
        <f t="shared" si="4"/>
        <v>#REF!</v>
      </c>
      <c r="H28" s="144" t="s">
        <v>168</v>
      </c>
      <c r="L28" s="69"/>
    </row>
    <row r="29" spans="1:12" x14ac:dyDescent="0.25">
      <c r="A29" s="74"/>
      <c r="B29" s="92" t="s">
        <v>78</v>
      </c>
      <c r="C29" s="93" t="e">
        <f>'26 Compare'!#REF!+'26 Compare'!#REF!+('26 Compare'!#REF!*0.25)</f>
        <v>#REF!</v>
      </c>
      <c r="D29" s="93" t="e">
        <f t="shared" si="5"/>
        <v>#REF!</v>
      </c>
      <c r="E29" s="94" t="e">
        <f t="shared" si="2"/>
        <v>#REF!</v>
      </c>
      <c r="F29" s="95" t="e">
        <f t="shared" si="3"/>
        <v>#REF!</v>
      </c>
      <c r="G29" s="96" t="e">
        <f t="shared" si="4"/>
        <v>#REF!</v>
      </c>
      <c r="H29" s="144" t="s">
        <v>168</v>
      </c>
    </row>
    <row r="30" spans="1:12" x14ac:dyDescent="0.25">
      <c r="A30" s="74"/>
      <c r="B30" s="92" t="s">
        <v>79</v>
      </c>
      <c r="C30" s="93" t="e">
        <f>'26 Compare'!#REF!+'26 Compare'!#REF!+('26 Compare'!#REF!*0.25)</f>
        <v>#REF!</v>
      </c>
      <c r="D30" s="93" t="e">
        <f t="shared" si="5"/>
        <v>#REF!</v>
      </c>
      <c r="E30" s="94" t="e">
        <f t="shared" si="2"/>
        <v>#REF!</v>
      </c>
      <c r="F30" s="95" t="e">
        <f t="shared" si="3"/>
        <v>#REF!</v>
      </c>
      <c r="G30" s="96" t="e">
        <f t="shared" si="4"/>
        <v>#REF!</v>
      </c>
      <c r="H30" s="144" t="s">
        <v>168</v>
      </c>
    </row>
    <row r="31" spans="1:12" x14ac:dyDescent="0.25">
      <c r="A31" s="74"/>
      <c r="B31" s="92" t="s">
        <v>80</v>
      </c>
      <c r="C31" s="93" t="e">
        <f>'26 Compare'!#REF!+'26 Compare'!#REF!+('26 Compare'!#REF!*0.25)</f>
        <v>#REF!</v>
      </c>
      <c r="D31" s="93" t="e">
        <f t="shared" si="5"/>
        <v>#REF!</v>
      </c>
      <c r="E31" s="94" t="e">
        <f t="shared" si="2"/>
        <v>#REF!</v>
      </c>
      <c r="F31" s="95" t="e">
        <f t="shared" si="3"/>
        <v>#REF!</v>
      </c>
      <c r="G31" s="96" t="e">
        <f t="shared" si="4"/>
        <v>#REF!</v>
      </c>
      <c r="H31" s="144" t="s">
        <v>168</v>
      </c>
    </row>
    <row r="32" spans="1:12" x14ac:dyDescent="0.25">
      <c r="A32" s="74"/>
      <c r="B32" s="92" t="s">
        <v>81</v>
      </c>
      <c r="C32" s="93" t="e">
        <f>'26 Compare'!#REF!+'26 Compare'!#REF!+('26 Compare'!#REF!*0.25)</f>
        <v>#REF!</v>
      </c>
      <c r="D32" s="93" t="e">
        <f t="shared" si="5"/>
        <v>#REF!</v>
      </c>
      <c r="E32" s="94" t="e">
        <f t="shared" si="2"/>
        <v>#REF!</v>
      </c>
      <c r="F32" s="95" t="e">
        <f t="shared" si="3"/>
        <v>#REF!</v>
      </c>
      <c r="G32" s="96" t="e">
        <f t="shared" si="4"/>
        <v>#REF!</v>
      </c>
      <c r="H32" s="144" t="s">
        <v>169</v>
      </c>
    </row>
    <row r="33" spans="1:10" x14ac:dyDescent="0.25">
      <c r="A33" s="74"/>
      <c r="B33" s="92" t="s">
        <v>82</v>
      </c>
      <c r="C33" s="93" t="e">
        <f>'26 Compare'!#REF!+'26 Compare'!#REF!+('26 Compare'!#REF!*0.25)</f>
        <v>#REF!</v>
      </c>
      <c r="D33" s="93" t="e">
        <f t="shared" si="5"/>
        <v>#REF!</v>
      </c>
      <c r="E33" s="94" t="e">
        <f t="shared" si="2"/>
        <v>#REF!</v>
      </c>
      <c r="F33" s="95" t="e">
        <f t="shared" si="3"/>
        <v>#REF!</v>
      </c>
      <c r="G33" s="96" t="e">
        <f t="shared" si="4"/>
        <v>#REF!</v>
      </c>
      <c r="H33" s="144" t="s">
        <v>169</v>
      </c>
    </row>
    <row r="34" spans="1:10" x14ac:dyDescent="0.25">
      <c r="A34" s="74"/>
      <c r="B34" s="92" t="s">
        <v>84</v>
      </c>
      <c r="C34" s="93" t="e">
        <f>'26 Compare'!#REF!+'26 Compare'!#REF!+('26 Compare'!#REF!*0.25)</f>
        <v>#REF!</v>
      </c>
      <c r="D34" s="93" t="e">
        <f t="shared" si="5"/>
        <v>#REF!</v>
      </c>
      <c r="E34" s="94" t="e">
        <f t="shared" si="2"/>
        <v>#REF!</v>
      </c>
      <c r="F34" s="95" t="e">
        <f t="shared" si="3"/>
        <v>#REF!</v>
      </c>
      <c r="G34" s="96" t="e">
        <f t="shared" si="4"/>
        <v>#REF!</v>
      </c>
      <c r="H34" s="144" t="s">
        <v>169</v>
      </c>
    </row>
    <row r="35" spans="1:10" x14ac:dyDescent="0.25">
      <c r="A35" s="74"/>
      <c r="B35" s="92" t="s">
        <v>86</v>
      </c>
      <c r="C35" s="93" t="e">
        <f>'26 Compare'!#REF!+'26 Compare'!#REF!+('26 Compare'!#REF!*0.25)</f>
        <v>#REF!</v>
      </c>
      <c r="D35" s="93" t="e">
        <f t="shared" si="5"/>
        <v>#REF!</v>
      </c>
      <c r="E35" s="94" t="e">
        <f t="shared" si="2"/>
        <v>#REF!</v>
      </c>
      <c r="F35" s="95" t="e">
        <f t="shared" si="3"/>
        <v>#REF!</v>
      </c>
      <c r="G35" s="96" t="e">
        <f t="shared" si="4"/>
        <v>#REF!</v>
      </c>
      <c r="H35" s="144" t="s">
        <v>169</v>
      </c>
    </row>
    <row r="36" spans="1:10" x14ac:dyDescent="0.25">
      <c r="A36" s="74"/>
      <c r="B36" s="92" t="s">
        <v>89</v>
      </c>
      <c r="C36" s="93" t="e">
        <f>'26 Compare'!#REF!+'26 Compare'!#REF!+('26 Compare'!#REF!*0.25)</f>
        <v>#REF!</v>
      </c>
      <c r="D36" s="93" t="e">
        <f t="shared" si="5"/>
        <v>#REF!</v>
      </c>
      <c r="E36" s="94" t="e">
        <f t="shared" si="2"/>
        <v>#REF!</v>
      </c>
      <c r="F36" s="95" t="e">
        <f t="shared" si="3"/>
        <v>#REF!</v>
      </c>
      <c r="G36" s="96" t="e">
        <f t="shared" si="4"/>
        <v>#REF!</v>
      </c>
      <c r="H36" s="144" t="s">
        <v>169</v>
      </c>
      <c r="J36" s="246" t="s">
        <v>195</v>
      </c>
    </row>
    <row r="37" spans="1:10" ht="15.75" thickBot="1" x14ac:dyDescent="0.3">
      <c r="A37" s="74"/>
      <c r="B37" s="126" t="s">
        <v>90</v>
      </c>
      <c r="C37" s="127" t="e">
        <f>'26 Compare'!#REF!+'26 Compare'!#REF!</f>
        <v>#REF!</v>
      </c>
      <c r="D37" s="127" t="e">
        <f t="shared" si="5"/>
        <v>#REF!</v>
      </c>
      <c r="E37" s="128" t="e">
        <f t="shared" si="2"/>
        <v>#REF!</v>
      </c>
      <c r="F37" s="129" t="e">
        <f t="shared" si="3"/>
        <v>#REF!</v>
      </c>
      <c r="G37" s="142" t="e">
        <f t="shared" si="4"/>
        <v>#REF!</v>
      </c>
      <c r="H37" s="144" t="s">
        <v>48</v>
      </c>
      <c r="J37" s="246" t="s">
        <v>196</v>
      </c>
    </row>
    <row r="38" spans="1:10" ht="15.75" thickBot="1" x14ac:dyDescent="0.3">
      <c r="A38" s="74"/>
      <c r="B38" s="75"/>
      <c r="C38" s="75"/>
      <c r="D38" s="98"/>
      <c r="E38" s="74"/>
      <c r="F38" s="74"/>
      <c r="G38" s="130" t="e">
        <f>SUM(G26:G37)</f>
        <v>#REF!</v>
      </c>
      <c r="H38" s="74"/>
    </row>
    <row r="39" spans="1:10" x14ac:dyDescent="0.25">
      <c r="A39" s="74"/>
    </row>
    <row r="40" spans="1:10" x14ac:dyDescent="0.25">
      <c r="A40" s="74"/>
      <c r="B40" s="75"/>
      <c r="C40" s="75"/>
      <c r="D40" s="75"/>
      <c r="E40" s="75"/>
      <c r="F40" s="74"/>
      <c r="G40" s="74"/>
      <c r="H40" s="74"/>
    </row>
  </sheetData>
  <mergeCells count="2">
    <mergeCell ref="B1:F1"/>
    <mergeCell ref="B2: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A2D6-3F1E-4114-A7CF-597BEF096545}">
  <dimension ref="A1:O40"/>
  <sheetViews>
    <sheetView zoomScale="115" zoomScaleNormal="115" workbookViewId="0">
      <selection activeCell="F17" sqref="F17"/>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220</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f>500000/12</f>
        <v>41666.666666666664</v>
      </c>
      <c r="D6" s="69">
        <f>500000/12</f>
        <v>41666.666666666664</v>
      </c>
      <c r="E6" s="69">
        <f>500000/12</f>
        <v>41666.666666666664</v>
      </c>
      <c r="F6" s="69">
        <f t="shared" ref="F6:N6" si="0">500000/12</f>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si="0"/>
        <v>41666.666666666664</v>
      </c>
      <c r="N6" s="69">
        <f t="shared" si="0"/>
        <v>41666.666666666664</v>
      </c>
      <c r="O6" s="87"/>
    </row>
    <row r="7" spans="2:15" x14ac:dyDescent="0.25">
      <c r="B7" s="68" t="s">
        <v>147</v>
      </c>
      <c r="C7" s="70">
        <v>5</v>
      </c>
      <c r="D7" s="70">
        <v>5</v>
      </c>
      <c r="E7" s="70">
        <v>6</v>
      </c>
      <c r="F7" s="70">
        <v>6</v>
      </c>
      <c r="G7" s="70">
        <v>6</v>
      </c>
      <c r="H7" s="70">
        <v>5</v>
      </c>
      <c r="I7" s="70">
        <v>5</v>
      </c>
      <c r="J7" s="70">
        <v>5</v>
      </c>
      <c r="K7" s="70">
        <v>5</v>
      </c>
      <c r="L7" s="70">
        <v>5</v>
      </c>
      <c r="M7" s="70">
        <v>6</v>
      </c>
      <c r="N7" s="70">
        <v>7</v>
      </c>
      <c r="O7" s="68"/>
    </row>
    <row r="8" spans="2:15" x14ac:dyDescent="0.25">
      <c r="B8" s="68" t="s">
        <v>148</v>
      </c>
      <c r="C8" s="69">
        <f>C6/C7</f>
        <v>8333.3333333333321</v>
      </c>
      <c r="D8" s="69">
        <f>D6/D7</f>
        <v>8333.3333333333321</v>
      </c>
      <c r="E8" s="69">
        <f>E6/E7</f>
        <v>6944.4444444444443</v>
      </c>
      <c r="F8" s="69">
        <f t="shared" ref="F8:N8" si="1">F6/F7</f>
        <v>6944.4444444444443</v>
      </c>
      <c r="G8" s="69">
        <f t="shared" si="1"/>
        <v>6944.4444444444443</v>
      </c>
      <c r="H8" s="69">
        <f t="shared" si="1"/>
        <v>8333.3333333333321</v>
      </c>
      <c r="I8" s="69">
        <f t="shared" si="1"/>
        <v>8333.3333333333321</v>
      </c>
      <c r="J8" s="69">
        <f t="shared" si="1"/>
        <v>8333.3333333333321</v>
      </c>
      <c r="K8" s="69">
        <f t="shared" si="1"/>
        <v>8333.3333333333321</v>
      </c>
      <c r="L8" s="69">
        <f t="shared" si="1"/>
        <v>8333.3333333333321</v>
      </c>
      <c r="M8" s="69">
        <f t="shared" si="1"/>
        <v>6944.4444444444443</v>
      </c>
      <c r="N8" s="69">
        <f t="shared" si="1"/>
        <v>5952.3809523809523</v>
      </c>
      <c r="O8" s="87">
        <f>SUM(C8:N8)</f>
        <v>92063.492063492027</v>
      </c>
    </row>
    <row r="9" spans="2:15" x14ac:dyDescent="0.25">
      <c r="B9" s="68"/>
    </row>
    <row r="10" spans="2:15" x14ac:dyDescent="0.25">
      <c r="B10" s="67" t="s">
        <v>149</v>
      </c>
      <c r="C10" s="69">
        <v>332340</v>
      </c>
      <c r="D10" s="69"/>
    </row>
    <row r="11" spans="2:15" x14ac:dyDescent="0.25">
      <c r="B11" s="67" t="s">
        <v>150</v>
      </c>
      <c r="C11" s="69">
        <v>75000</v>
      </c>
      <c r="D11" s="69"/>
    </row>
    <row r="12" spans="2:15" x14ac:dyDescent="0.25">
      <c r="B12" s="67" t="s">
        <v>153</v>
      </c>
      <c r="C12" s="69"/>
      <c r="D12" s="69"/>
    </row>
    <row r="13" spans="2:15" x14ac:dyDescent="0.25">
      <c r="B13" s="71" t="s">
        <v>154</v>
      </c>
      <c r="C13" s="69">
        <f>0.17*(C10+C11)</f>
        <v>69247.8</v>
      </c>
      <c r="D13" s="69"/>
    </row>
    <row r="14" spans="2:15" x14ac:dyDescent="0.25">
      <c r="B14" s="67" t="s">
        <v>148</v>
      </c>
      <c r="C14" s="72">
        <f>O8</f>
        <v>92063.492063492027</v>
      </c>
      <c r="D14" s="69"/>
    </row>
    <row r="15" spans="2:15" x14ac:dyDescent="0.25">
      <c r="B15" s="68" t="s">
        <v>155</v>
      </c>
      <c r="C15" s="69">
        <f>SUM(C10:C14)</f>
        <v>568651.292063492</v>
      </c>
      <c r="D15" s="69"/>
    </row>
    <row r="16" spans="2:15" x14ac:dyDescent="0.25">
      <c r="B16" s="68"/>
    </row>
    <row r="17" spans="1:12" x14ac:dyDescent="0.25">
      <c r="B17" s="68"/>
      <c r="C17" s="73"/>
    </row>
    <row r="18" spans="1:12" x14ac:dyDescent="0.25">
      <c r="A18" s="74"/>
      <c r="B18" s="75"/>
      <c r="C18" s="74"/>
      <c r="D18" s="74"/>
      <c r="E18" s="74"/>
      <c r="F18" s="74"/>
      <c r="G18" s="74"/>
      <c r="H18" s="74"/>
    </row>
    <row r="19" spans="1:12" ht="15.75" thickBot="1" x14ac:dyDescent="0.3">
      <c r="A19" s="74"/>
      <c r="E19" s="140"/>
      <c r="F19" s="148"/>
      <c r="G19" s="148"/>
      <c r="H19" s="74"/>
    </row>
    <row r="20" spans="1:12" ht="15.75" x14ac:dyDescent="0.25">
      <c r="A20" s="74"/>
      <c r="B20" s="76" t="s">
        <v>156</v>
      </c>
      <c r="C20" s="77" t="s">
        <v>157</v>
      </c>
      <c r="D20" s="78" t="s">
        <v>158</v>
      </c>
      <c r="E20" s="79" t="s">
        <v>159</v>
      </c>
      <c r="F20" s="85"/>
      <c r="G20" s="86"/>
      <c r="H20" s="74"/>
    </row>
    <row r="21" spans="1:12" ht="15.75" x14ac:dyDescent="0.25">
      <c r="A21" s="74"/>
      <c r="B21" s="81" t="s">
        <v>160</v>
      </c>
      <c r="C21" s="82">
        <v>0</v>
      </c>
      <c r="D21" s="83">
        <f>C15</f>
        <v>568651.292063492</v>
      </c>
      <c r="E21" s="84">
        <v>0</v>
      </c>
      <c r="F21" s="85"/>
      <c r="G21" s="86"/>
      <c r="H21" s="74"/>
    </row>
    <row r="22" spans="1:12" ht="15.75" x14ac:dyDescent="0.25">
      <c r="A22" s="74"/>
      <c r="B22" s="81" t="s">
        <v>161</v>
      </c>
      <c r="C22" s="82">
        <f>D21+0.01</f>
        <v>568651.30206349201</v>
      </c>
      <c r="D22" s="83">
        <f>C22+49999.99</f>
        <v>618651.292063492</v>
      </c>
      <c r="E22" s="84">
        <v>0.05</v>
      </c>
      <c r="F22" s="85"/>
      <c r="G22" s="86"/>
      <c r="H22" s="74"/>
    </row>
    <row r="23" spans="1:12" ht="15.75" x14ac:dyDescent="0.25">
      <c r="A23" s="74"/>
      <c r="B23" s="81" t="s">
        <v>162</v>
      </c>
      <c r="C23" s="82">
        <f>D22+0.01</f>
        <v>618651.30206349201</v>
      </c>
      <c r="D23" s="83">
        <f>C23+49999.99</f>
        <v>668651.292063492</v>
      </c>
      <c r="E23" s="84">
        <v>0.1</v>
      </c>
      <c r="F23" s="85"/>
      <c r="G23" s="86"/>
      <c r="H23" s="74"/>
    </row>
    <row r="24" spans="1:12" ht="15.75" thickBot="1" x14ac:dyDescent="0.3">
      <c r="A24" s="74"/>
      <c r="B24" s="122" t="s">
        <v>163</v>
      </c>
      <c r="C24" s="123">
        <f>D23+0.01</f>
        <v>668651.30206349201</v>
      </c>
      <c r="D24" s="124">
        <v>0</v>
      </c>
      <c r="E24" s="141">
        <v>0.15</v>
      </c>
      <c r="F24" s="87"/>
      <c r="G24" s="87"/>
      <c r="H24" s="74"/>
    </row>
    <row r="25" spans="1:12" x14ac:dyDescent="0.25">
      <c r="A25" s="74"/>
      <c r="B25" s="74"/>
      <c r="C25" s="74"/>
      <c r="D25" s="74"/>
      <c r="F25" s="74"/>
      <c r="H25" s="74"/>
    </row>
    <row r="26" spans="1:12" ht="15.75" thickBot="1" x14ac:dyDescent="0.3">
      <c r="A26" s="74"/>
      <c r="H26" s="74"/>
    </row>
    <row r="27" spans="1:12" x14ac:dyDescent="0.25">
      <c r="A27" s="74"/>
      <c r="B27" s="88" t="s">
        <v>119</v>
      </c>
      <c r="C27" s="89" t="s">
        <v>164</v>
      </c>
      <c r="D27" s="89" t="s">
        <v>165</v>
      </c>
      <c r="E27" s="90" t="s">
        <v>156</v>
      </c>
      <c r="F27" s="227" t="s">
        <v>166</v>
      </c>
      <c r="G27" s="91" t="s">
        <v>167</v>
      </c>
      <c r="H27" s="74"/>
      <c r="L27" s="97"/>
    </row>
    <row r="28" spans="1:12" x14ac:dyDescent="0.25">
      <c r="A28" s="74"/>
      <c r="B28" s="92" t="s">
        <v>67</v>
      </c>
      <c r="C28" s="228">
        <f>'26 Compare'!N6+'26 Compare'!N10</f>
        <v>89258.85</v>
      </c>
      <c r="D28" s="93">
        <f>C28</f>
        <v>89258.85</v>
      </c>
      <c r="E28" s="94" t="str">
        <f t="shared" ref="E28:E39" si="2">IF(D28="-", "", IF(AND(D28&gt;=$C$21, D28&lt;=$D$21), $B$21, IF(AND(D28&gt;=$C$22, D28&lt;=$D$22), $B$22, IF(AND(D28&gt;=$C$23, D28&lt;=$D$23), $B$23, IF(D28&gt;=$C$24, $B$24, "")))))</f>
        <v>Bracket 1</v>
      </c>
      <c r="F28" s="95">
        <f t="shared" ref="F28:F39" si="3">IF(AND(D28&gt;=$C$21, D28&lt;=$D$21), $C$22-D28, IF(AND(D28&gt;=$C$22, D28&lt;=$D$22), $C$23-D28, IF(AND(D28&gt;=$C$23, D28&lt;=$D$23), $C$24-D28, IF(D28&gt;=$C$24, 0, ""))))</f>
        <v>479392.45206349203</v>
      </c>
      <c r="G28" s="96">
        <f>IF(C28="","-",
IF(D28&lt;=$D$21,0,
    0.05*MAX(0, MIN(D28,$D$22) - MAX(D28-C28,$C$22)) +
    0.1*MAX(0, MIN(D28,$D$23) - MAX(D28-C28,$C$23)) +
    0.15*MAX(0, D28 - MAX(D28-C28,$C$24))
))</f>
        <v>0</v>
      </c>
      <c r="H28" s="74"/>
      <c r="L28" s="69"/>
    </row>
    <row r="29" spans="1:12" x14ac:dyDescent="0.25">
      <c r="A29" s="74"/>
      <c r="B29" s="92" t="s">
        <v>75</v>
      </c>
      <c r="C29" s="93" t="e">
        <f>'26 Compare'!#REF!+'26 Compare'!#REF!</f>
        <v>#REF!</v>
      </c>
      <c r="D29" s="93" t="e">
        <f>IF(OR(C29=0, C29=""), "-", D28+C29)</f>
        <v>#REF!</v>
      </c>
      <c r="E29" s="94" t="e">
        <f t="shared" si="2"/>
        <v>#REF!</v>
      </c>
      <c r="F29" s="95" t="e">
        <f t="shared" si="3"/>
        <v>#REF!</v>
      </c>
      <c r="G29" s="96" t="e">
        <f t="shared" ref="G29:G39" si="4">IF(C29="","-",
IF(D29&lt;=$D$21,0,
    0.05*MAX(0, MIN(D29,$D$22) - MAX(D29-C29,$C$22)) +
    0.1*MAX(0, MIN(D29,$D$23) - MAX(D29-C29,$C$23)) +
    0.15*MAX(0, D29 - MAX(D29-C29,$C$24))
))</f>
        <v>#REF!</v>
      </c>
      <c r="H29" s="74"/>
    </row>
    <row r="30" spans="1:12" x14ac:dyDescent="0.25">
      <c r="A30" s="74"/>
      <c r="B30" s="92" t="s">
        <v>76</v>
      </c>
      <c r="C30" s="93" t="e">
        <f>'26 Compare'!#REF!+'26 Compare'!#REF!</f>
        <v>#REF!</v>
      </c>
      <c r="D30" s="93" t="e">
        <f t="shared" ref="D30:D39" si="5">IF(OR(C30=0, C30=""), "-", D29+C30)</f>
        <v>#REF!</v>
      </c>
      <c r="E30" s="94" t="e">
        <f t="shared" si="2"/>
        <v>#REF!</v>
      </c>
      <c r="F30" s="95" t="e">
        <f t="shared" si="3"/>
        <v>#REF!</v>
      </c>
      <c r="G30" s="96" t="e">
        <f t="shared" si="4"/>
        <v>#REF!</v>
      </c>
      <c r="H30" s="74"/>
    </row>
    <row r="31" spans="1:12" x14ac:dyDescent="0.25">
      <c r="A31" s="74"/>
      <c r="B31" s="92" t="s">
        <v>78</v>
      </c>
      <c r="C31" s="93" t="e">
        <f>'26 Compare'!#REF!+'26 Compare'!#REF!</f>
        <v>#REF!</v>
      </c>
      <c r="D31" s="93" t="e">
        <f t="shared" si="5"/>
        <v>#REF!</v>
      </c>
      <c r="E31" s="94" t="e">
        <f t="shared" si="2"/>
        <v>#REF!</v>
      </c>
      <c r="F31" s="95" t="e">
        <f t="shared" si="3"/>
        <v>#REF!</v>
      </c>
      <c r="G31" s="96" t="e">
        <f t="shared" si="4"/>
        <v>#REF!</v>
      </c>
      <c r="H31" s="74"/>
    </row>
    <row r="32" spans="1:12" x14ac:dyDescent="0.25">
      <c r="A32" s="74"/>
      <c r="B32" s="92" t="s">
        <v>79</v>
      </c>
      <c r="C32" s="93" t="e">
        <f>'26 Compare'!#REF!+'26 Compare'!#REF!</f>
        <v>#REF!</v>
      </c>
      <c r="D32" s="93" t="e">
        <f t="shared" si="5"/>
        <v>#REF!</v>
      </c>
      <c r="E32" s="94" t="e">
        <f t="shared" si="2"/>
        <v>#REF!</v>
      </c>
      <c r="F32" s="95" t="e">
        <f t="shared" si="3"/>
        <v>#REF!</v>
      </c>
      <c r="G32" s="96" t="e">
        <f t="shared" si="4"/>
        <v>#REF!</v>
      </c>
      <c r="H32" s="74"/>
    </row>
    <row r="33" spans="1:9" x14ac:dyDescent="0.25">
      <c r="A33" s="74"/>
      <c r="B33" s="92" t="s">
        <v>80</v>
      </c>
      <c r="C33" s="93" t="e">
        <f>'26 Compare'!#REF!+'26 Compare'!#REF!</f>
        <v>#REF!</v>
      </c>
      <c r="D33" s="93" t="e">
        <f t="shared" si="5"/>
        <v>#REF!</v>
      </c>
      <c r="E33" s="94" t="e">
        <f t="shared" si="2"/>
        <v>#REF!</v>
      </c>
      <c r="F33" s="95" t="e">
        <f t="shared" si="3"/>
        <v>#REF!</v>
      </c>
      <c r="G33" s="96" t="e">
        <f t="shared" si="4"/>
        <v>#REF!</v>
      </c>
      <c r="H33" s="74"/>
    </row>
    <row r="34" spans="1:9" x14ac:dyDescent="0.25">
      <c r="A34" s="74"/>
      <c r="B34" s="92" t="s">
        <v>81</v>
      </c>
      <c r="C34" s="93" t="e">
        <f>'26 Compare'!#REF!+'26 Compare'!#REF!</f>
        <v>#REF!</v>
      </c>
      <c r="D34" s="93" t="e">
        <f t="shared" si="5"/>
        <v>#REF!</v>
      </c>
      <c r="E34" s="94" t="e">
        <f t="shared" si="2"/>
        <v>#REF!</v>
      </c>
      <c r="F34" s="95" t="e">
        <f t="shared" si="3"/>
        <v>#REF!</v>
      </c>
      <c r="G34" s="96" t="e">
        <f t="shared" si="4"/>
        <v>#REF!</v>
      </c>
      <c r="H34" s="74"/>
    </row>
    <row r="35" spans="1:9" x14ac:dyDescent="0.25">
      <c r="A35" s="74"/>
      <c r="B35" s="92" t="s">
        <v>82</v>
      </c>
      <c r="C35" s="93" t="e">
        <f>'26 Compare'!#REF!+'26 Compare'!#REF!</f>
        <v>#REF!</v>
      </c>
      <c r="D35" s="93" t="e">
        <f t="shared" si="5"/>
        <v>#REF!</v>
      </c>
      <c r="E35" s="94" t="e">
        <f t="shared" si="2"/>
        <v>#REF!</v>
      </c>
      <c r="F35" s="95" t="e">
        <f t="shared" si="3"/>
        <v>#REF!</v>
      </c>
      <c r="G35" s="96" t="e">
        <f t="shared" si="4"/>
        <v>#REF!</v>
      </c>
      <c r="H35" s="74"/>
    </row>
    <row r="36" spans="1:9" x14ac:dyDescent="0.25">
      <c r="A36" s="74"/>
      <c r="B36" s="92" t="s">
        <v>84</v>
      </c>
      <c r="C36" s="93" t="e">
        <f>'26 Compare'!#REF!+'26 Compare'!#REF!</f>
        <v>#REF!</v>
      </c>
      <c r="D36" s="93" t="e">
        <f t="shared" si="5"/>
        <v>#REF!</v>
      </c>
      <c r="E36" s="94" t="e">
        <f t="shared" si="2"/>
        <v>#REF!</v>
      </c>
      <c r="F36" s="95" t="e">
        <f t="shared" si="3"/>
        <v>#REF!</v>
      </c>
      <c r="G36" s="96" t="e">
        <f t="shared" si="4"/>
        <v>#REF!</v>
      </c>
      <c r="H36" s="74"/>
    </row>
    <row r="37" spans="1:9" x14ac:dyDescent="0.25">
      <c r="A37" s="74"/>
      <c r="B37" s="92" t="s">
        <v>86</v>
      </c>
      <c r="C37" s="93" t="e">
        <f>'26 Compare'!#REF!+'26 Compare'!#REF!</f>
        <v>#REF!</v>
      </c>
      <c r="D37" s="93" t="e">
        <f t="shared" si="5"/>
        <v>#REF!</v>
      </c>
      <c r="E37" s="94" t="e">
        <f t="shared" si="2"/>
        <v>#REF!</v>
      </c>
      <c r="F37" s="95" t="e">
        <f t="shared" si="3"/>
        <v>#REF!</v>
      </c>
      <c r="G37" s="96" t="e">
        <f t="shared" si="4"/>
        <v>#REF!</v>
      </c>
      <c r="H37" s="74"/>
      <c r="I37" s="246" t="s">
        <v>192</v>
      </c>
    </row>
    <row r="38" spans="1:9" x14ac:dyDescent="0.25">
      <c r="A38" s="74"/>
      <c r="B38" s="92" t="s">
        <v>89</v>
      </c>
      <c r="C38" s="93" t="e">
        <f>'26 Compare'!#REF!+'26 Compare'!#REF!</f>
        <v>#REF!</v>
      </c>
      <c r="D38" s="93" t="e">
        <f t="shared" si="5"/>
        <v>#REF!</v>
      </c>
      <c r="E38" s="94" t="e">
        <f t="shared" si="2"/>
        <v>#REF!</v>
      </c>
      <c r="F38" s="95" t="e">
        <f t="shared" si="3"/>
        <v>#REF!</v>
      </c>
      <c r="G38" s="96" t="e">
        <f t="shared" si="4"/>
        <v>#REF!</v>
      </c>
      <c r="H38" s="74"/>
      <c r="I38" s="246" t="s">
        <v>193</v>
      </c>
    </row>
    <row r="39" spans="1:9" ht="15.75" thickBot="1" x14ac:dyDescent="0.3">
      <c r="A39" s="74"/>
      <c r="B39" s="126" t="s">
        <v>90</v>
      </c>
      <c r="C39" s="127" t="e">
        <f>'26 Compare'!#REF!+'26 Compare'!#REF!</f>
        <v>#REF!</v>
      </c>
      <c r="D39" s="127" t="e">
        <f t="shared" si="5"/>
        <v>#REF!</v>
      </c>
      <c r="E39" s="128" t="e">
        <f t="shared" si="2"/>
        <v>#REF!</v>
      </c>
      <c r="F39" s="129" t="e">
        <f t="shared" si="3"/>
        <v>#REF!</v>
      </c>
      <c r="G39" s="142" t="e">
        <f t="shared" si="4"/>
        <v>#REF!</v>
      </c>
      <c r="H39" s="74"/>
      <c r="I39" s="246" t="s">
        <v>194</v>
      </c>
    </row>
    <row r="40" spans="1:9" ht="15.75" thickBot="1" x14ac:dyDescent="0.3">
      <c r="A40" s="74"/>
      <c r="B40" s="75"/>
      <c r="C40" s="75"/>
      <c r="D40" s="98"/>
      <c r="E40" s="74"/>
      <c r="F40" s="74"/>
      <c r="G40" s="130" t="e">
        <f>SUM(G28:G39)</f>
        <v>#REF!</v>
      </c>
      <c r="H40" s="74"/>
    </row>
  </sheetData>
  <mergeCells count="2">
    <mergeCell ref="B1:F1"/>
    <mergeCell ref="B2:F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6880-2A25-492E-93F5-13D6349FF114}">
  <dimension ref="A1:R44"/>
  <sheetViews>
    <sheetView zoomScale="130" zoomScaleNormal="130" workbookViewId="0">
      <selection activeCell="G12" sqref="G12"/>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2.37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219</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f>500000/12</f>
        <v>41666.666666666664</v>
      </c>
      <c r="D6" s="69">
        <f>500000/12</f>
        <v>41666.666666666664</v>
      </c>
      <c r="E6" s="69">
        <f>500000/12</f>
        <v>41666.666666666664</v>
      </c>
      <c r="F6" s="69">
        <f t="shared" ref="F6:N6" si="0">500000/12</f>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si="0"/>
        <v>41666.666666666664</v>
      </c>
      <c r="N6" s="69">
        <f t="shared" si="0"/>
        <v>41666.666666666664</v>
      </c>
      <c r="O6" s="87"/>
    </row>
    <row r="7" spans="2:15" x14ac:dyDescent="0.25">
      <c r="B7" s="68" t="s">
        <v>147</v>
      </c>
      <c r="C7" s="70">
        <v>5</v>
      </c>
      <c r="D7" s="70">
        <v>5</v>
      </c>
      <c r="E7" s="70">
        <v>6</v>
      </c>
      <c r="F7" s="70">
        <v>6</v>
      </c>
      <c r="G7" s="70">
        <v>6</v>
      </c>
      <c r="H7" s="70">
        <v>5</v>
      </c>
      <c r="I7" s="70">
        <v>5</v>
      </c>
      <c r="J7" s="70">
        <v>5</v>
      </c>
      <c r="K7" s="70">
        <v>5</v>
      </c>
      <c r="L7" s="70">
        <v>5</v>
      </c>
      <c r="M7" s="70">
        <v>6</v>
      </c>
      <c r="N7" s="70">
        <v>7</v>
      </c>
      <c r="O7" s="68"/>
    </row>
    <row r="8" spans="2:15" x14ac:dyDescent="0.25">
      <c r="B8" s="68" t="s">
        <v>148</v>
      </c>
      <c r="C8" s="69">
        <f>C6/C7</f>
        <v>8333.3333333333321</v>
      </c>
      <c r="D8" s="69">
        <f>D6/D7</f>
        <v>8333.3333333333321</v>
      </c>
      <c r="E8" s="69">
        <f>E6/E7</f>
        <v>6944.4444444444443</v>
      </c>
      <c r="F8" s="69">
        <f t="shared" ref="F8:N8" si="1">F6/F7</f>
        <v>6944.4444444444443</v>
      </c>
      <c r="G8" s="69">
        <f t="shared" si="1"/>
        <v>6944.4444444444443</v>
      </c>
      <c r="H8" s="69">
        <f t="shared" si="1"/>
        <v>8333.3333333333321</v>
      </c>
      <c r="I8" s="69">
        <f t="shared" si="1"/>
        <v>8333.3333333333321</v>
      </c>
      <c r="J8" s="69">
        <f t="shared" si="1"/>
        <v>8333.3333333333321</v>
      </c>
      <c r="K8" s="69">
        <f t="shared" si="1"/>
        <v>8333.3333333333321</v>
      </c>
      <c r="L8" s="69">
        <f t="shared" si="1"/>
        <v>8333.3333333333321</v>
      </c>
      <c r="M8" s="69">
        <f t="shared" si="1"/>
        <v>6944.4444444444443</v>
      </c>
      <c r="N8" s="69">
        <f t="shared" si="1"/>
        <v>5952.3809523809523</v>
      </c>
      <c r="O8" s="87">
        <f>SUM(C8:N8)</f>
        <v>92063.492063492027</v>
      </c>
    </row>
    <row r="9" spans="2:15" x14ac:dyDescent="0.25">
      <c r="B9" s="68"/>
    </row>
    <row r="10" spans="2:15" x14ac:dyDescent="0.25">
      <c r="B10" s="67" t="s">
        <v>149</v>
      </c>
      <c r="C10" s="69">
        <v>255000</v>
      </c>
      <c r="D10" s="69"/>
    </row>
    <row r="11" spans="2:15" x14ac:dyDescent="0.25">
      <c r="B11" s="67" t="s">
        <v>150</v>
      </c>
      <c r="C11" s="69">
        <v>75000</v>
      </c>
      <c r="D11" s="226" t="s">
        <v>170</v>
      </c>
    </row>
    <row r="12" spans="2:15" x14ac:dyDescent="0.25">
      <c r="B12" s="67" t="s">
        <v>153</v>
      </c>
      <c r="C12" s="69"/>
      <c r="D12" s="69"/>
    </row>
    <row r="13" spans="2:15" x14ac:dyDescent="0.25">
      <c r="B13" s="71" t="s">
        <v>154</v>
      </c>
      <c r="C13" s="69">
        <f>0.17*(C10+C11)</f>
        <v>56100.000000000007</v>
      </c>
      <c r="D13" s="69"/>
    </row>
    <row r="14" spans="2:15" x14ac:dyDescent="0.25">
      <c r="B14" s="67" t="s">
        <v>148</v>
      </c>
      <c r="C14" s="72">
        <f>O8</f>
        <v>92063.492063492027</v>
      </c>
      <c r="D14" s="69"/>
    </row>
    <row r="15" spans="2:15" x14ac:dyDescent="0.25">
      <c r="B15" s="68" t="s">
        <v>155</v>
      </c>
      <c r="C15" s="69">
        <f>SUM(C10:C14)</f>
        <v>478163.49206349201</v>
      </c>
      <c r="D15" s="69"/>
    </row>
    <row r="16" spans="2:15" x14ac:dyDescent="0.25">
      <c r="B16" s="68"/>
    </row>
    <row r="17" spans="1:18" x14ac:dyDescent="0.25">
      <c r="B17" s="68"/>
      <c r="C17" s="73"/>
    </row>
    <row r="18" spans="1:18" ht="15.75" thickBot="1" x14ac:dyDescent="0.3">
      <c r="A18" s="74"/>
      <c r="B18" s="75"/>
      <c r="C18" s="74"/>
      <c r="D18" s="74"/>
      <c r="E18" s="74"/>
      <c r="F18" s="74"/>
      <c r="G18" s="74"/>
      <c r="H18" s="74"/>
    </row>
    <row r="19" spans="1:18" x14ac:dyDescent="0.25">
      <c r="A19" s="74"/>
      <c r="B19" s="76" t="s">
        <v>156</v>
      </c>
      <c r="C19" s="77" t="s">
        <v>157</v>
      </c>
      <c r="D19" s="78" t="s">
        <v>158</v>
      </c>
      <c r="E19" s="79" t="s">
        <v>159</v>
      </c>
      <c r="F19" s="80"/>
      <c r="G19" s="148"/>
      <c r="H19" s="74"/>
    </row>
    <row r="20" spans="1:18" ht="15.75" x14ac:dyDescent="0.25">
      <c r="A20" s="74"/>
      <c r="B20" s="81" t="s">
        <v>160</v>
      </c>
      <c r="C20" s="82">
        <v>0</v>
      </c>
      <c r="D20" s="83">
        <f>C15</f>
        <v>478163.49206349201</v>
      </c>
      <c r="E20" s="84">
        <v>0</v>
      </c>
      <c r="F20" s="85"/>
      <c r="G20" s="86"/>
      <c r="H20" s="74"/>
    </row>
    <row r="21" spans="1:18" ht="15.75" x14ac:dyDescent="0.25">
      <c r="A21" s="74"/>
      <c r="B21" s="81" t="s">
        <v>161</v>
      </c>
      <c r="C21" s="82">
        <f>D20+0.01</f>
        <v>478163.50206349202</v>
      </c>
      <c r="D21" s="83">
        <f>C21+49999.99</f>
        <v>528163.49206349207</v>
      </c>
      <c r="E21" s="84">
        <v>0.05</v>
      </c>
      <c r="F21" s="85"/>
      <c r="G21" s="86"/>
      <c r="H21" s="74"/>
    </row>
    <row r="22" spans="1:18" ht="15.75" x14ac:dyDescent="0.25">
      <c r="A22" s="74"/>
      <c r="B22" s="81" t="s">
        <v>162</v>
      </c>
      <c r="C22" s="82">
        <f>D21+0.01</f>
        <v>528163.50206349208</v>
      </c>
      <c r="D22" s="83">
        <f>C22+49999.99</f>
        <v>578163.49206349207</v>
      </c>
      <c r="E22" s="84">
        <v>0.1</v>
      </c>
      <c r="F22" s="85"/>
      <c r="G22" s="86"/>
      <c r="H22" s="74"/>
    </row>
    <row r="23" spans="1:18" ht="16.5" thickBot="1" x14ac:dyDescent="0.3">
      <c r="A23" s="74"/>
      <c r="B23" s="122" t="s">
        <v>163</v>
      </c>
      <c r="C23" s="123">
        <f>D22+0.01</f>
        <v>578163.50206349208</v>
      </c>
      <c r="D23" s="124">
        <v>0</v>
      </c>
      <c r="E23" s="125">
        <v>0.15</v>
      </c>
      <c r="F23" s="85"/>
      <c r="G23" s="86"/>
      <c r="H23" s="74"/>
      <c r="M23" s="396"/>
      <c r="N23" s="397"/>
      <c r="O23" s="397"/>
      <c r="P23" s="397"/>
      <c r="Q23" s="397"/>
      <c r="R23" s="397"/>
    </row>
    <row r="24" spans="1:18" x14ac:dyDescent="0.25">
      <c r="A24" s="74"/>
      <c r="B24" s="74"/>
      <c r="C24" s="74"/>
      <c r="D24" s="74"/>
      <c r="E24" s="229"/>
      <c r="F24" s="87"/>
      <c r="G24" s="87"/>
      <c r="H24" s="74"/>
      <c r="M24" s="397"/>
      <c r="N24" s="397"/>
      <c r="O24" s="397"/>
      <c r="P24" s="397"/>
      <c r="Q24" s="397"/>
      <c r="R24" s="397"/>
    </row>
    <row r="25" spans="1:18" ht="15.75" thickBot="1" x14ac:dyDescent="0.3">
      <c r="A25" s="74"/>
      <c r="B25" s="74"/>
      <c r="C25" s="74"/>
      <c r="D25" s="74"/>
      <c r="F25" s="74"/>
      <c r="H25" s="74"/>
      <c r="M25" s="397"/>
      <c r="N25" s="397"/>
      <c r="O25" s="397"/>
      <c r="P25" s="397"/>
      <c r="Q25" s="397"/>
      <c r="R25" s="397"/>
    </row>
    <row r="26" spans="1:18" x14ac:dyDescent="0.25">
      <c r="A26" s="74"/>
      <c r="B26" s="88" t="s">
        <v>119</v>
      </c>
      <c r="C26" s="89" t="s">
        <v>164</v>
      </c>
      <c r="D26" s="89" t="s">
        <v>165</v>
      </c>
      <c r="E26" s="90" t="s">
        <v>156</v>
      </c>
      <c r="F26" s="227" t="s">
        <v>166</v>
      </c>
      <c r="G26" s="91" t="s">
        <v>167</v>
      </c>
      <c r="H26" s="74"/>
      <c r="M26" s="397"/>
      <c r="N26" s="397"/>
      <c r="O26" s="397"/>
      <c r="P26" s="397"/>
      <c r="Q26" s="397"/>
      <c r="R26" s="397"/>
    </row>
    <row r="27" spans="1:18" x14ac:dyDescent="0.25">
      <c r="A27" s="74"/>
      <c r="B27" s="92" t="s">
        <v>67</v>
      </c>
      <c r="C27" s="228">
        <f>'26 Compare'!N7+'26 Compare'!N12</f>
        <v>30542.99</v>
      </c>
      <c r="D27" s="93">
        <f>C27</f>
        <v>30542.99</v>
      </c>
      <c r="E27" s="94" t="str">
        <f>IF(D27="-", "", IF(AND(D27&gt;=$C$20, D27&lt;=$D$20), $B$20, IF(AND(D27&gt;=$C$21, D27&lt;=$D$21), $B$21, IF(AND(D27&gt;=$C$22, D27&lt;=$D$22), $B$22, IF(D27&gt;=$C$23, $B$23, "")))))</f>
        <v>Bracket 1</v>
      </c>
      <c r="F27" s="95">
        <f>IF(AND(D27&gt;=$C$20, D27&lt;=$D$20), $C$21-D27, IF(AND(D27&gt;=$C$21, D27&lt;=$D$21), $C$22-D27, IF(AND(D27&gt;=$C$22, D27&lt;=$D$22), $C$23-D27, IF(D27&gt;=$C$23, 0, ""))))</f>
        <v>447620.51206349203</v>
      </c>
      <c r="G27" s="96">
        <f>IF(C27="","-",
IF(D27&lt;=$D$20,0,
    0.05*MAX(0, MIN(D27,$D$21) - MAX(D27-C27,$C$21)) +
    0.1*MAX(0, MIN(D27,$D$22) - MAX(D27-C27,$C$22)) +
    0.15*MAX(0, D27 - MAX(D27-C27,$C$23))
))</f>
        <v>0</v>
      </c>
      <c r="H27" s="144" t="s">
        <v>50</v>
      </c>
      <c r="L27" s="97"/>
      <c r="M27" s="397"/>
      <c r="N27" s="397"/>
      <c r="O27" s="397"/>
      <c r="P27" s="397"/>
      <c r="Q27" s="397"/>
      <c r="R27" s="397"/>
    </row>
    <row r="28" spans="1:18" x14ac:dyDescent="0.25">
      <c r="A28" s="74"/>
      <c r="B28" s="92" t="s">
        <v>75</v>
      </c>
      <c r="C28" s="93" t="e">
        <f>'26 Compare'!#REF!+'26 Compare'!#REF!</f>
        <v>#REF!</v>
      </c>
      <c r="D28" s="93" t="e">
        <f>IF(OR(C28=0, C28=""), "-", D27+C28)</f>
        <v>#REF!</v>
      </c>
      <c r="E28" s="94" t="e">
        <f t="shared" ref="E28:E38" si="2">IF(D28="-", "", IF(AND(D28&gt;=$C$20, D28&lt;=$D$20), $B$20, IF(AND(D28&gt;=$C$21, D28&lt;=$D$21), $B$21, IF(AND(D28&gt;=$C$22, D28&lt;=$D$22), $B$22, IF(D28&gt;=$C$23, $B$23, "")))))</f>
        <v>#REF!</v>
      </c>
      <c r="F28" s="95" t="e">
        <f t="shared" ref="F28:F38" si="3">IF(AND(D28&gt;=$C$20, D28&lt;=$D$20), $C$21-D28, IF(AND(D28&gt;=$C$21, D28&lt;=$D$21), $C$22-D28, IF(AND(D28&gt;=$C$22, D28&lt;=$D$22), $C$23-D28, IF(D28&gt;=$C$23, 0, ""))))</f>
        <v>#REF!</v>
      </c>
      <c r="G28" s="96" t="e">
        <f t="shared" ref="G28:G38" si="4">IF(C28="","-",
IF(D28&lt;=$D$20,0,
    0.05*MAX(0, MIN(D28,$D$21) - MAX(D28-C28,$C$21)) +
    0.1*MAX(0, MIN(D28,$D$22) - MAX(D28-C28,$C$22)) +
    0.15*MAX(0, D28 - MAX(D28-C28,$C$23))
))</f>
        <v>#REF!</v>
      </c>
      <c r="H28" s="144" t="s">
        <v>50</v>
      </c>
      <c r="L28" s="69"/>
      <c r="M28" s="397"/>
      <c r="N28" s="397"/>
      <c r="O28" s="397"/>
      <c r="P28" s="397"/>
      <c r="Q28" s="397"/>
      <c r="R28" s="397"/>
    </row>
    <row r="29" spans="1:18" x14ac:dyDescent="0.25">
      <c r="A29" s="74"/>
      <c r="B29" s="92" t="s">
        <v>76</v>
      </c>
      <c r="C29" s="93" t="e">
        <f>'26 Compare'!#REF!+'26 Compare'!#REF!</f>
        <v>#REF!</v>
      </c>
      <c r="D29" s="93" t="e">
        <f t="shared" ref="D29:D38" si="5">IF(OR(C29=0, C29=""), "-", D28+C29)</f>
        <v>#REF!</v>
      </c>
      <c r="E29" s="94" t="e">
        <f t="shared" si="2"/>
        <v>#REF!</v>
      </c>
      <c r="F29" s="95" t="e">
        <f t="shared" si="3"/>
        <v>#REF!</v>
      </c>
      <c r="G29" s="96" t="e">
        <f t="shared" si="4"/>
        <v>#REF!</v>
      </c>
      <c r="H29" s="144" t="s">
        <v>50</v>
      </c>
    </row>
    <row r="30" spans="1:18" x14ac:dyDescent="0.25">
      <c r="A30" s="74"/>
      <c r="B30" s="92" t="s">
        <v>78</v>
      </c>
      <c r="C30" s="93" t="e">
        <f>'26 Compare'!#REF!+'26 Compare'!#REF!</f>
        <v>#REF!</v>
      </c>
      <c r="D30" s="93" t="e">
        <f t="shared" si="5"/>
        <v>#REF!</v>
      </c>
      <c r="E30" s="94" t="e">
        <f t="shared" si="2"/>
        <v>#REF!</v>
      </c>
      <c r="F30" s="95" t="e">
        <f t="shared" si="3"/>
        <v>#REF!</v>
      </c>
      <c r="G30" s="96" t="e">
        <f t="shared" si="4"/>
        <v>#REF!</v>
      </c>
      <c r="H30" s="144" t="s">
        <v>50</v>
      </c>
    </row>
    <row r="31" spans="1:18" x14ac:dyDescent="0.25">
      <c r="A31" s="74"/>
      <c r="B31" s="92" t="s">
        <v>79</v>
      </c>
      <c r="C31" s="93" t="e">
        <f>'26 Compare'!#REF!+'26 Compare'!#REF!</f>
        <v>#REF!</v>
      </c>
      <c r="D31" s="93" t="e">
        <f t="shared" si="5"/>
        <v>#REF!</v>
      </c>
      <c r="E31" s="94" t="e">
        <f t="shared" si="2"/>
        <v>#REF!</v>
      </c>
      <c r="F31" s="95" t="e">
        <f t="shared" si="3"/>
        <v>#REF!</v>
      </c>
      <c r="G31" s="96" t="e">
        <f t="shared" si="4"/>
        <v>#REF!</v>
      </c>
      <c r="H31" s="144" t="s">
        <v>50</v>
      </c>
    </row>
    <row r="32" spans="1:18" x14ac:dyDescent="0.25">
      <c r="A32" s="74"/>
      <c r="B32" s="92" t="s">
        <v>80</v>
      </c>
      <c r="C32" s="93" t="e">
        <f>'26 Compare'!#REF!+'26 Compare'!#REF!</f>
        <v>#REF!</v>
      </c>
      <c r="D32" s="93" t="e">
        <f t="shared" si="5"/>
        <v>#REF!</v>
      </c>
      <c r="E32" s="94" t="e">
        <f t="shared" si="2"/>
        <v>#REF!</v>
      </c>
      <c r="F32" s="95" t="e">
        <f t="shared" si="3"/>
        <v>#REF!</v>
      </c>
      <c r="G32" s="96" t="e">
        <f t="shared" si="4"/>
        <v>#REF!</v>
      </c>
      <c r="H32" s="144" t="s">
        <v>50</v>
      </c>
    </row>
    <row r="33" spans="1:9" x14ac:dyDescent="0.25">
      <c r="A33" s="74"/>
      <c r="B33" s="92" t="s">
        <v>81</v>
      </c>
      <c r="C33" s="93" t="e">
        <f>'26 Compare'!#REF!+'26 Compare'!#REF!+'26 Compare'!#REF!</f>
        <v>#REF!</v>
      </c>
      <c r="D33" s="93" t="e">
        <f t="shared" si="5"/>
        <v>#REF!</v>
      </c>
      <c r="E33" s="94" t="e">
        <f t="shared" si="2"/>
        <v>#REF!</v>
      </c>
      <c r="F33" s="95" t="e">
        <f t="shared" si="3"/>
        <v>#REF!</v>
      </c>
      <c r="G33" s="96" t="e">
        <f t="shared" si="4"/>
        <v>#REF!</v>
      </c>
      <c r="H33" s="144" t="s">
        <v>171</v>
      </c>
    </row>
    <row r="34" spans="1:9" x14ac:dyDescent="0.25">
      <c r="A34" s="74"/>
      <c r="B34" s="92" t="s">
        <v>82</v>
      </c>
      <c r="C34" s="93" t="e">
        <f>'26 Compare'!#REF!+'26 Compare'!#REF!+'26 Compare'!#REF!</f>
        <v>#REF!</v>
      </c>
      <c r="D34" s="93" t="e">
        <f t="shared" si="5"/>
        <v>#REF!</v>
      </c>
      <c r="E34" s="94" t="e">
        <f t="shared" si="2"/>
        <v>#REF!</v>
      </c>
      <c r="F34" s="95" t="e">
        <f t="shared" si="3"/>
        <v>#REF!</v>
      </c>
      <c r="G34" s="96" t="e">
        <f>IF(C34="","-",
IF(D34&lt;=$D$20,0,
    0.05*MAX(0, MIN(D34,$D$21) - MAX(D34-C34,$C$21)) +
    0.1*MAX(0, MIN(D34,$D$22) - MAX(D34-C34,$C$22)) +
    0.15*MAX(0, D34 - MAX(D34-C34,$C$23))
))</f>
        <v>#REF!</v>
      </c>
      <c r="H34" s="144" t="s">
        <v>171</v>
      </c>
    </row>
    <row r="35" spans="1:9" x14ac:dyDescent="0.25">
      <c r="A35" s="74"/>
      <c r="B35" s="92" t="s">
        <v>84</v>
      </c>
      <c r="C35" s="93" t="e">
        <f>'26 Compare'!#REF!+'26 Compare'!#REF!+'26 Compare'!#REF!</f>
        <v>#REF!</v>
      </c>
      <c r="D35" s="93" t="e">
        <f t="shared" si="5"/>
        <v>#REF!</v>
      </c>
      <c r="E35" s="94" t="e">
        <f t="shared" si="2"/>
        <v>#REF!</v>
      </c>
      <c r="F35" s="95" t="e">
        <f t="shared" si="3"/>
        <v>#REF!</v>
      </c>
      <c r="G35" s="96" t="e">
        <f t="shared" si="4"/>
        <v>#REF!</v>
      </c>
      <c r="H35" s="144" t="s">
        <v>171</v>
      </c>
      <c r="I35" s="246" t="s">
        <v>189</v>
      </c>
    </row>
    <row r="36" spans="1:9" x14ac:dyDescent="0.25">
      <c r="A36" s="74"/>
      <c r="B36" s="92" t="s">
        <v>86</v>
      </c>
      <c r="C36" s="93" t="e">
        <f>'26 Compare'!#REF!+'26 Compare'!#REF!</f>
        <v>#REF!</v>
      </c>
      <c r="D36" s="93" t="e">
        <f t="shared" si="5"/>
        <v>#REF!</v>
      </c>
      <c r="E36" s="94" t="e">
        <f t="shared" si="2"/>
        <v>#REF!</v>
      </c>
      <c r="F36" s="95" t="e">
        <f t="shared" si="3"/>
        <v>#REF!</v>
      </c>
      <c r="G36" s="96" t="e">
        <f t="shared" si="4"/>
        <v>#REF!</v>
      </c>
      <c r="H36" s="144" t="s">
        <v>50</v>
      </c>
      <c r="I36" s="246" t="s">
        <v>190</v>
      </c>
    </row>
    <row r="37" spans="1:9" x14ac:dyDescent="0.25">
      <c r="A37" s="74"/>
      <c r="B37" s="92" t="s">
        <v>89</v>
      </c>
      <c r="C37" s="93" t="e">
        <f>'26 Compare'!#REF!+'26 Compare'!#REF!</f>
        <v>#REF!</v>
      </c>
      <c r="D37" s="93" t="e">
        <f t="shared" si="5"/>
        <v>#REF!</v>
      </c>
      <c r="E37" s="94" t="e">
        <f t="shared" si="2"/>
        <v>#REF!</v>
      </c>
      <c r="F37" s="95" t="e">
        <f t="shared" si="3"/>
        <v>#REF!</v>
      </c>
      <c r="G37" s="96" t="e">
        <f t="shared" si="4"/>
        <v>#REF!</v>
      </c>
      <c r="H37" s="144" t="s">
        <v>50</v>
      </c>
      <c r="I37" s="246" t="s">
        <v>188</v>
      </c>
    </row>
    <row r="38" spans="1:9" ht="15.75" thickBot="1" x14ac:dyDescent="0.3">
      <c r="A38" s="74"/>
      <c r="B38" s="126" t="s">
        <v>90</v>
      </c>
      <c r="C38" s="127" t="e">
        <f>'26 Compare'!#REF!+'26 Compare'!#REF!</f>
        <v>#REF!</v>
      </c>
      <c r="D38" s="127" t="e">
        <f t="shared" si="5"/>
        <v>#REF!</v>
      </c>
      <c r="E38" s="128" t="e">
        <f t="shared" si="2"/>
        <v>#REF!</v>
      </c>
      <c r="F38" s="129" t="e">
        <f t="shared" si="3"/>
        <v>#REF!</v>
      </c>
      <c r="G38" s="142" t="e">
        <f t="shared" si="4"/>
        <v>#REF!</v>
      </c>
      <c r="H38" s="144" t="s">
        <v>50</v>
      </c>
      <c r="I38" s="246" t="s">
        <v>191</v>
      </c>
    </row>
    <row r="39" spans="1:9" ht="15.75" thickBot="1" x14ac:dyDescent="0.3">
      <c r="A39" s="74"/>
      <c r="B39" s="75"/>
      <c r="C39" s="75"/>
      <c r="D39" s="98"/>
      <c r="E39" s="74"/>
      <c r="F39" s="74"/>
      <c r="G39" s="130" t="e">
        <f>SUM(G27:G38)</f>
        <v>#REF!</v>
      </c>
      <c r="H39" s="74"/>
    </row>
    <row r="40" spans="1:9" x14ac:dyDescent="0.25">
      <c r="A40" s="74"/>
      <c r="B40" s="75"/>
      <c r="C40" s="75"/>
      <c r="D40" s="75"/>
      <c r="E40" s="75"/>
      <c r="F40" s="74"/>
      <c r="G40" s="74"/>
      <c r="H40" s="74"/>
    </row>
    <row r="44" spans="1:9" x14ac:dyDescent="0.25">
      <c r="I44" s="246" t="s">
        <v>83</v>
      </c>
    </row>
  </sheetData>
  <mergeCells count="3">
    <mergeCell ref="B1:F1"/>
    <mergeCell ref="B2:F2"/>
    <mergeCell ref="M23:R28"/>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0A6C-CD8D-4CC4-BC36-BA00869775B9}">
  <dimension ref="A1:O40"/>
  <sheetViews>
    <sheetView topLeftCell="A4" zoomScale="115" zoomScaleNormal="115" workbookViewId="0">
      <selection activeCell="G13" sqref="G13"/>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218</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c r="D6" s="69"/>
      <c r="E6" s="69"/>
      <c r="F6" s="69"/>
      <c r="G6" s="69"/>
      <c r="H6" s="69"/>
      <c r="I6" s="69">
        <f t="shared" ref="I6:N6" si="0">500000/12</f>
        <v>41666.666666666664</v>
      </c>
      <c r="J6" s="69">
        <f t="shared" si="0"/>
        <v>41666.666666666664</v>
      </c>
      <c r="K6" s="69">
        <f t="shared" si="0"/>
        <v>41666.666666666664</v>
      </c>
      <c r="L6" s="69">
        <f t="shared" si="0"/>
        <v>41666.666666666664</v>
      </c>
      <c r="M6" s="69">
        <f t="shared" si="0"/>
        <v>41666.666666666664</v>
      </c>
      <c r="N6" s="69">
        <f t="shared" si="0"/>
        <v>41666.666666666664</v>
      </c>
      <c r="O6" s="87"/>
    </row>
    <row r="7" spans="2:15" x14ac:dyDescent="0.25">
      <c r="B7" s="68" t="s">
        <v>147</v>
      </c>
      <c r="C7" s="70">
        <v>5</v>
      </c>
      <c r="D7" s="70">
        <v>5</v>
      </c>
      <c r="E7" s="70">
        <v>6</v>
      </c>
      <c r="F7" s="70">
        <v>6</v>
      </c>
      <c r="G7" s="70">
        <v>6</v>
      </c>
      <c r="H7" s="70">
        <v>5</v>
      </c>
      <c r="I7" s="70">
        <v>5</v>
      </c>
      <c r="J7" s="70">
        <v>5</v>
      </c>
      <c r="K7" s="70">
        <v>5</v>
      </c>
      <c r="L7" s="70">
        <v>5</v>
      </c>
      <c r="M7" s="70">
        <v>6</v>
      </c>
      <c r="N7" s="70">
        <v>7</v>
      </c>
      <c r="O7" s="68"/>
    </row>
    <row r="8" spans="2:15" x14ac:dyDescent="0.25">
      <c r="B8" s="68" t="s">
        <v>148</v>
      </c>
      <c r="C8" s="69">
        <f>C6/C7</f>
        <v>0</v>
      </c>
      <c r="D8" s="69">
        <f>D6/D7</f>
        <v>0</v>
      </c>
      <c r="E8" s="69">
        <f>E6/E7</f>
        <v>0</v>
      </c>
      <c r="F8" s="69">
        <f t="shared" ref="F8:N8" si="1">F6/F7</f>
        <v>0</v>
      </c>
      <c r="G8" s="69">
        <f t="shared" si="1"/>
        <v>0</v>
      </c>
      <c r="H8" s="69">
        <f t="shared" si="1"/>
        <v>0</v>
      </c>
      <c r="I8" s="69">
        <f t="shared" si="1"/>
        <v>8333.3333333333321</v>
      </c>
      <c r="J8" s="69">
        <f t="shared" si="1"/>
        <v>8333.3333333333321</v>
      </c>
      <c r="K8" s="69">
        <f t="shared" si="1"/>
        <v>8333.3333333333321</v>
      </c>
      <c r="L8" s="69">
        <f t="shared" si="1"/>
        <v>8333.3333333333321</v>
      </c>
      <c r="M8" s="69">
        <f t="shared" si="1"/>
        <v>6944.4444444444443</v>
      </c>
      <c r="N8" s="69">
        <f t="shared" si="1"/>
        <v>5952.3809523809523</v>
      </c>
      <c r="O8" s="87">
        <f>SUM(C8:N8)</f>
        <v>46230.158730158728</v>
      </c>
    </row>
    <row r="9" spans="2:15" x14ac:dyDescent="0.25">
      <c r="B9" s="68"/>
    </row>
    <row r="10" spans="2:15" x14ac:dyDescent="0.25">
      <c r="B10" s="67" t="s">
        <v>149</v>
      </c>
      <c r="C10" s="69">
        <v>130000</v>
      </c>
      <c r="D10" s="226"/>
    </row>
    <row r="11" spans="2:15" x14ac:dyDescent="0.25">
      <c r="B11" s="67" t="s">
        <v>150</v>
      </c>
      <c r="C11" s="69"/>
      <c r="D11" s="69"/>
    </row>
    <row r="12" spans="2:15" x14ac:dyDescent="0.25">
      <c r="B12" s="67" t="s">
        <v>153</v>
      </c>
      <c r="C12" s="69"/>
      <c r="D12" s="69"/>
    </row>
    <row r="13" spans="2:15" x14ac:dyDescent="0.25">
      <c r="B13" s="71" t="s">
        <v>154</v>
      </c>
      <c r="C13" s="69">
        <f>0.17*(C10+C11)</f>
        <v>22100</v>
      </c>
      <c r="D13" s="226"/>
    </row>
    <row r="14" spans="2:15" x14ac:dyDescent="0.25">
      <c r="B14" s="67" t="s">
        <v>148</v>
      </c>
      <c r="C14" s="72">
        <f>O8</f>
        <v>46230.158730158728</v>
      </c>
      <c r="D14" s="226"/>
    </row>
    <row r="15" spans="2:15" x14ac:dyDescent="0.25">
      <c r="B15" s="68" t="s">
        <v>155</v>
      </c>
      <c r="C15" s="69">
        <f>SUM(C10:C14)</f>
        <v>198330.15873015873</v>
      </c>
      <c r="D15" s="69"/>
    </row>
    <row r="16" spans="2:15" x14ac:dyDescent="0.25">
      <c r="B16" s="68"/>
    </row>
    <row r="17" spans="1:12" x14ac:dyDescent="0.25">
      <c r="B17" s="68"/>
      <c r="C17" s="73"/>
    </row>
    <row r="18" spans="1:12" ht="15.75" thickBot="1" x14ac:dyDescent="0.3">
      <c r="A18" s="74"/>
      <c r="B18" s="75"/>
      <c r="C18" s="74"/>
      <c r="D18" s="74"/>
      <c r="E18" s="74"/>
      <c r="F18" s="74"/>
      <c r="G18" s="74"/>
      <c r="H18" s="74"/>
    </row>
    <row r="19" spans="1:12" x14ac:dyDescent="0.25">
      <c r="A19" s="74"/>
      <c r="B19" s="76" t="s">
        <v>156</v>
      </c>
      <c r="C19" s="77" t="s">
        <v>157</v>
      </c>
      <c r="D19" s="78" t="s">
        <v>158</v>
      </c>
      <c r="E19" s="79" t="s">
        <v>159</v>
      </c>
      <c r="F19" s="80"/>
      <c r="G19" s="148"/>
      <c r="H19" s="74"/>
    </row>
    <row r="20" spans="1:12" ht="15.75" x14ac:dyDescent="0.25">
      <c r="A20" s="74"/>
      <c r="B20" s="81" t="s">
        <v>160</v>
      </c>
      <c r="C20" s="82">
        <v>0</v>
      </c>
      <c r="D20" s="83">
        <f>C15</f>
        <v>198330.15873015873</v>
      </c>
      <c r="E20" s="84">
        <v>0</v>
      </c>
      <c r="F20" s="85"/>
      <c r="G20" s="86"/>
      <c r="H20" s="74"/>
    </row>
    <row r="21" spans="1:12" ht="15.75" x14ac:dyDescent="0.25">
      <c r="A21" s="74"/>
      <c r="B21" s="81" t="s">
        <v>161</v>
      </c>
      <c r="C21" s="82">
        <f>D20+0.01</f>
        <v>198330.16873015874</v>
      </c>
      <c r="D21" s="83">
        <f>C21+49999.99</f>
        <v>248330.15873015873</v>
      </c>
      <c r="E21" s="84">
        <v>0.05</v>
      </c>
      <c r="F21" s="85"/>
      <c r="G21" s="86"/>
      <c r="H21" s="74"/>
    </row>
    <row r="22" spans="1:12" ht="15.75" x14ac:dyDescent="0.25">
      <c r="A22" s="74"/>
      <c r="B22" s="81" t="s">
        <v>162</v>
      </c>
      <c r="C22" s="82">
        <f>D21+0.01</f>
        <v>248330.16873015874</v>
      </c>
      <c r="D22" s="83">
        <f>C22+49999.99</f>
        <v>298330.15873015876</v>
      </c>
      <c r="E22" s="84">
        <v>0.1</v>
      </c>
      <c r="F22" s="85"/>
      <c r="G22" s="86"/>
      <c r="H22" s="74"/>
    </row>
    <row r="23" spans="1:12" ht="16.5" thickBot="1" x14ac:dyDescent="0.3">
      <c r="A23" s="74"/>
      <c r="B23" s="122" t="s">
        <v>163</v>
      </c>
      <c r="C23" s="123">
        <f>D22+0.01</f>
        <v>298330.16873015877</v>
      </c>
      <c r="D23" s="124">
        <v>0</v>
      </c>
      <c r="E23" s="125">
        <v>0.15</v>
      </c>
      <c r="F23" s="85"/>
      <c r="G23" s="86"/>
      <c r="H23" s="74"/>
    </row>
    <row r="24" spans="1:12" x14ac:dyDescent="0.25">
      <c r="A24" s="74"/>
      <c r="B24" s="74"/>
      <c r="C24" s="74"/>
      <c r="D24" s="74"/>
      <c r="E24" s="229"/>
      <c r="F24" s="87"/>
      <c r="G24" s="87"/>
      <c r="H24" s="74"/>
    </row>
    <row r="25" spans="1:12" ht="15.75" thickBot="1" x14ac:dyDescent="0.3">
      <c r="A25" s="74"/>
      <c r="B25" s="74"/>
      <c r="C25" s="74"/>
      <c r="D25" s="74"/>
      <c r="F25" s="74"/>
      <c r="H25" s="74"/>
    </row>
    <row r="26" spans="1:12" x14ac:dyDescent="0.25">
      <c r="A26" s="74"/>
      <c r="B26" s="88" t="s">
        <v>119</v>
      </c>
      <c r="C26" s="89" t="s">
        <v>164</v>
      </c>
      <c r="D26" s="89" t="s">
        <v>165</v>
      </c>
      <c r="E26" s="90" t="s">
        <v>156</v>
      </c>
      <c r="F26" s="227" t="s">
        <v>166</v>
      </c>
      <c r="G26" s="91" t="s">
        <v>167</v>
      </c>
      <c r="H26" s="74"/>
    </row>
    <row r="27" spans="1:12" x14ac:dyDescent="0.25">
      <c r="A27" s="74"/>
      <c r="B27" s="92" t="s">
        <v>67</v>
      </c>
      <c r="C27" s="228">
        <v>0</v>
      </c>
      <c r="D27" s="93">
        <f>C27</f>
        <v>0</v>
      </c>
      <c r="E27" s="94" t="str">
        <f>IF(D27="-", "", IF(AND(D27&gt;=$C$20, D27&lt;=$D$20), $B$20, IF(AND(D27&gt;=$C$21, D27&lt;=$D$21), $B$21, IF(AND(D27&gt;=$C$22, D27&lt;=$D$22), $B$22, IF(D27&gt;=$C$23, $B$23, "")))))</f>
        <v>Bracket 1</v>
      </c>
      <c r="F27" s="95">
        <f>IF(AND(D27&gt;=$C$20, D27&lt;=$D$20), $C$21-D27, IF(AND(D27&gt;=$C$21, D27&lt;=$D$21), $C$22-D27, IF(AND(D27&gt;=$C$22, D27&lt;=$D$22), $C$23-D27, IF(D27&gt;=$C$23, 0, ""))))</f>
        <v>198330.16873015874</v>
      </c>
      <c r="G27" s="96">
        <f>IF(C28="","-",
IF(D28&lt;=$D$21,0,
    0.05*MAX(0, MIN(D28,$D$22) - MAX(D28-C28,$C$22)) +
    0.1*MAX(0, MIN(D28,$D$23) - MAX(D28-C28,$C$23)) +
    0.15*MAX(0, D28 - MAX(D28-C28,$C$24))
))</f>
        <v>0</v>
      </c>
      <c r="H27" s="74"/>
      <c r="L27" s="97"/>
    </row>
    <row r="28" spans="1:12" x14ac:dyDescent="0.25">
      <c r="A28" s="74"/>
      <c r="B28" s="92" t="s">
        <v>75</v>
      </c>
      <c r="C28" s="93">
        <v>0</v>
      </c>
      <c r="D28" s="93">
        <v>0</v>
      </c>
      <c r="E28" s="94" t="str">
        <f t="shared" ref="E28:E38" si="2">IF(D28="-", "", IF(AND(D28&gt;=$C$20, D28&lt;=$D$20), $B$20, IF(AND(D28&gt;=$C$21, D28&lt;=$D$21), $B$21, IF(AND(D28&gt;=$C$22, D28&lt;=$D$22), $B$22, IF(D28&gt;=$C$23, $B$23, "")))))</f>
        <v>Bracket 1</v>
      </c>
      <c r="F28" s="95">
        <f t="shared" ref="F28:F38" si="3">IF(AND(D28&gt;=$C$20, D28&lt;=$D$20), $C$21-D28, IF(AND(D28&gt;=$C$21, D28&lt;=$D$21), $C$22-D28, IF(AND(D28&gt;=$C$22, D28&lt;=$D$22), $C$23-D28, IF(D28&gt;=$C$23, 0, ""))))</f>
        <v>198330.16873015874</v>
      </c>
      <c r="G28" s="96">
        <f t="shared" ref="G28:G38" si="4">IF(C29="","-",
IF(D29&lt;=$D$21,0,
    0.05*MAX(0, MIN(D29,$D$22) - MAX(D29-C29,$C$22)) +
    0.1*MAX(0, MIN(D29,$D$23) - MAX(D29-C29,$C$23)) +
    0.15*MAX(0, D29 - MAX(D29-C29,$C$24))
))</f>
        <v>0</v>
      </c>
      <c r="H28" s="74"/>
      <c r="L28" s="69"/>
    </row>
    <row r="29" spans="1:12" x14ac:dyDescent="0.25">
      <c r="A29" s="74"/>
      <c r="B29" s="92" t="s">
        <v>76</v>
      </c>
      <c r="C29" s="93">
        <v>0</v>
      </c>
      <c r="D29" s="93">
        <v>0</v>
      </c>
      <c r="E29" s="94" t="str">
        <f t="shared" si="2"/>
        <v>Bracket 1</v>
      </c>
      <c r="F29" s="95">
        <f t="shared" si="3"/>
        <v>198330.16873015874</v>
      </c>
      <c r="G29" s="96">
        <f t="shared" si="4"/>
        <v>0</v>
      </c>
      <c r="H29" s="74"/>
    </row>
    <row r="30" spans="1:12" x14ac:dyDescent="0.25">
      <c r="A30" s="74"/>
      <c r="B30" s="92" t="s">
        <v>78</v>
      </c>
      <c r="C30" s="93">
        <v>0</v>
      </c>
      <c r="D30" s="93">
        <v>0</v>
      </c>
      <c r="E30" s="94" t="str">
        <f t="shared" si="2"/>
        <v>Bracket 1</v>
      </c>
      <c r="F30" s="95">
        <f t="shared" si="3"/>
        <v>198330.16873015874</v>
      </c>
      <c r="G30" s="96">
        <f t="shared" si="4"/>
        <v>0</v>
      </c>
      <c r="H30" s="74"/>
    </row>
    <row r="31" spans="1:12" x14ac:dyDescent="0.25">
      <c r="A31" s="74"/>
      <c r="B31" s="92" t="s">
        <v>79</v>
      </c>
      <c r="C31" s="93">
        <v>0</v>
      </c>
      <c r="D31" s="93">
        <v>0</v>
      </c>
      <c r="E31" s="94" t="str">
        <f t="shared" si="2"/>
        <v>Bracket 1</v>
      </c>
      <c r="F31" s="95">
        <f t="shared" si="3"/>
        <v>198330.16873015874</v>
      </c>
      <c r="G31" s="96">
        <f t="shared" si="4"/>
        <v>0</v>
      </c>
      <c r="H31" s="74"/>
    </row>
    <row r="32" spans="1:12" x14ac:dyDescent="0.25">
      <c r="A32" s="74"/>
      <c r="B32" s="92" t="s">
        <v>80</v>
      </c>
      <c r="C32" s="93">
        <v>0</v>
      </c>
      <c r="D32" s="93">
        <v>0</v>
      </c>
      <c r="E32" s="94" t="str">
        <f t="shared" si="2"/>
        <v>Bracket 1</v>
      </c>
      <c r="F32" s="95">
        <f t="shared" si="3"/>
        <v>198330.16873015874</v>
      </c>
      <c r="G32" s="96" t="e">
        <f t="shared" si="4"/>
        <v>#REF!</v>
      </c>
      <c r="H32" s="74"/>
    </row>
    <row r="33" spans="1:8" x14ac:dyDescent="0.25">
      <c r="A33" s="74"/>
      <c r="B33" s="92" t="s">
        <v>81</v>
      </c>
      <c r="C33" s="93" t="e">
        <f>'26 Compare'!#REF!</f>
        <v>#REF!</v>
      </c>
      <c r="D33" s="93" t="e">
        <f t="shared" ref="D33:D38" si="5">IF(OR(C33=0, C33=""), "-", D32+C33)</f>
        <v>#REF!</v>
      </c>
      <c r="E33" s="94" t="e">
        <f t="shared" si="2"/>
        <v>#REF!</v>
      </c>
      <c r="F33" s="95" t="e">
        <f t="shared" si="3"/>
        <v>#REF!</v>
      </c>
      <c r="G33" s="96" t="e">
        <f t="shared" si="4"/>
        <v>#REF!</v>
      </c>
      <c r="H33" s="74"/>
    </row>
    <row r="34" spans="1:8" x14ac:dyDescent="0.25">
      <c r="A34" s="74"/>
      <c r="B34" s="92" t="s">
        <v>82</v>
      </c>
      <c r="C34" s="93" t="e">
        <f>'26 Compare'!#REF!</f>
        <v>#REF!</v>
      </c>
      <c r="D34" s="93" t="e">
        <f t="shared" si="5"/>
        <v>#REF!</v>
      </c>
      <c r="E34" s="94" t="e">
        <f t="shared" si="2"/>
        <v>#REF!</v>
      </c>
      <c r="F34" s="95" t="e">
        <f t="shared" si="3"/>
        <v>#REF!</v>
      </c>
      <c r="G34" s="96" t="e">
        <f t="shared" si="4"/>
        <v>#REF!</v>
      </c>
      <c r="H34" s="74"/>
    </row>
    <row r="35" spans="1:8" x14ac:dyDescent="0.25">
      <c r="A35" s="74"/>
      <c r="B35" s="92" t="s">
        <v>84</v>
      </c>
      <c r="C35" s="93" t="e">
        <f>'26 Compare'!#REF!</f>
        <v>#REF!</v>
      </c>
      <c r="D35" s="93" t="e">
        <f t="shared" si="5"/>
        <v>#REF!</v>
      </c>
      <c r="E35" s="94" t="e">
        <f t="shared" si="2"/>
        <v>#REF!</v>
      </c>
      <c r="F35" s="95" t="e">
        <f t="shared" si="3"/>
        <v>#REF!</v>
      </c>
      <c r="G35" s="96" t="e">
        <f t="shared" si="4"/>
        <v>#REF!</v>
      </c>
      <c r="H35" s="74"/>
    </row>
    <row r="36" spans="1:8" x14ac:dyDescent="0.25">
      <c r="A36" s="74"/>
      <c r="B36" s="92" t="s">
        <v>86</v>
      </c>
      <c r="C36" s="93" t="e">
        <f>'26 Compare'!#REF!</f>
        <v>#REF!</v>
      </c>
      <c r="D36" s="93" t="e">
        <f t="shared" si="5"/>
        <v>#REF!</v>
      </c>
      <c r="E36" s="94" t="e">
        <f t="shared" si="2"/>
        <v>#REF!</v>
      </c>
      <c r="F36" s="95" t="e">
        <f t="shared" si="3"/>
        <v>#REF!</v>
      </c>
      <c r="G36" s="96" t="e">
        <f t="shared" si="4"/>
        <v>#REF!</v>
      </c>
      <c r="H36" s="74"/>
    </row>
    <row r="37" spans="1:8" x14ac:dyDescent="0.25">
      <c r="A37" s="74"/>
      <c r="B37" s="92" t="s">
        <v>89</v>
      </c>
      <c r="C37" s="93" t="e">
        <f>'26 Compare'!#REF!</f>
        <v>#REF!</v>
      </c>
      <c r="D37" s="93" t="e">
        <f t="shared" si="5"/>
        <v>#REF!</v>
      </c>
      <c r="E37" s="94" t="e">
        <f t="shared" si="2"/>
        <v>#REF!</v>
      </c>
      <c r="F37" s="95" t="e">
        <f t="shared" si="3"/>
        <v>#REF!</v>
      </c>
      <c r="G37" s="96" t="e">
        <f t="shared" si="4"/>
        <v>#REF!</v>
      </c>
      <c r="H37" s="74"/>
    </row>
    <row r="38" spans="1:8" ht="15.75" thickBot="1" x14ac:dyDescent="0.3">
      <c r="A38" s="74"/>
      <c r="B38" s="126" t="s">
        <v>90</v>
      </c>
      <c r="C38" s="127" t="e">
        <f>'26 Compare'!#REF!</f>
        <v>#REF!</v>
      </c>
      <c r="D38" s="127" t="e">
        <f t="shared" si="5"/>
        <v>#REF!</v>
      </c>
      <c r="E38" s="128" t="e">
        <f t="shared" si="2"/>
        <v>#REF!</v>
      </c>
      <c r="F38" s="129" t="e">
        <f t="shared" si="3"/>
        <v>#REF!</v>
      </c>
      <c r="G38" s="96" t="str">
        <f t="shared" si="4"/>
        <v>-</v>
      </c>
      <c r="H38" s="74"/>
    </row>
    <row r="39" spans="1:8" ht="15.75" thickBot="1" x14ac:dyDescent="0.3">
      <c r="A39" s="74"/>
      <c r="B39" s="75"/>
      <c r="C39" s="75"/>
      <c r="D39" s="98"/>
      <c r="E39" s="74"/>
      <c r="F39" s="74"/>
      <c r="G39" s="130" t="e">
        <f>SUM(G27:G38)</f>
        <v>#REF!</v>
      </c>
      <c r="H39" s="74"/>
    </row>
    <row r="40" spans="1:8" x14ac:dyDescent="0.25">
      <c r="A40" s="74"/>
      <c r="B40" s="75"/>
      <c r="C40" s="75"/>
      <c r="D40" s="75"/>
      <c r="E40" s="75"/>
      <c r="F40" s="74"/>
      <c r="G40" s="74"/>
      <c r="H40" s="74"/>
    </row>
  </sheetData>
  <mergeCells count="2">
    <mergeCell ref="B1:F1"/>
    <mergeCell ref="B2:F2"/>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3E30-742D-4C31-A9E5-E882D6F6F28C}">
  <dimension ref="A1:O40"/>
  <sheetViews>
    <sheetView zoomScale="115" zoomScaleNormal="115" workbookViewId="0">
      <selection activeCell="E17" sqref="E17"/>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217</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f t="shared" ref="C6:N6" si="0">500000/12</f>
        <v>41666.666666666664</v>
      </c>
      <c r="D6" s="69">
        <f t="shared" si="0"/>
        <v>41666.666666666664</v>
      </c>
      <c r="E6" s="69">
        <f t="shared" si="0"/>
        <v>41666.666666666664</v>
      </c>
      <c r="F6" s="69">
        <f t="shared" si="0"/>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si="0"/>
        <v>41666.666666666664</v>
      </c>
      <c r="N6" s="69">
        <f t="shared" si="0"/>
        <v>41666.666666666664</v>
      </c>
      <c r="O6" s="69">
        <f>SUM(C6:N6)</f>
        <v>500000.00000000006</v>
      </c>
    </row>
    <row r="7" spans="2:15" x14ac:dyDescent="0.25">
      <c r="B7" s="68" t="s">
        <v>147</v>
      </c>
      <c r="C7" s="70">
        <v>6</v>
      </c>
      <c r="D7" s="70">
        <v>6</v>
      </c>
      <c r="E7" s="70">
        <v>6</v>
      </c>
      <c r="F7" s="70">
        <v>6</v>
      </c>
      <c r="G7" s="70">
        <v>6</v>
      </c>
      <c r="H7" s="70">
        <v>6</v>
      </c>
      <c r="I7" s="70">
        <v>6</v>
      </c>
      <c r="J7" s="70">
        <v>6</v>
      </c>
      <c r="K7" s="70">
        <v>6</v>
      </c>
      <c r="L7" s="70">
        <v>6</v>
      </c>
      <c r="M7" s="70">
        <v>6</v>
      </c>
      <c r="N7" s="70">
        <v>6</v>
      </c>
      <c r="O7" s="68"/>
    </row>
    <row r="8" spans="2:15" x14ac:dyDescent="0.25">
      <c r="B8" s="68" t="s">
        <v>148</v>
      </c>
      <c r="C8" s="69">
        <f>C6/C7</f>
        <v>6944.4444444444443</v>
      </c>
      <c r="D8" s="69">
        <f>D6/D7</f>
        <v>6944.4444444444443</v>
      </c>
      <c r="E8" s="69">
        <f>E6/E7</f>
        <v>6944.4444444444443</v>
      </c>
      <c r="F8" s="69">
        <f t="shared" ref="F8:N8" si="1">F6/F7</f>
        <v>6944.4444444444443</v>
      </c>
      <c r="G8" s="69">
        <f t="shared" si="1"/>
        <v>6944.4444444444443</v>
      </c>
      <c r="H8" s="69">
        <f t="shared" si="1"/>
        <v>6944.4444444444443</v>
      </c>
      <c r="I8" s="69">
        <f t="shared" si="1"/>
        <v>6944.4444444444443</v>
      </c>
      <c r="J8" s="69">
        <f t="shared" si="1"/>
        <v>6944.4444444444443</v>
      </c>
      <c r="K8" s="69">
        <f t="shared" si="1"/>
        <v>6944.4444444444443</v>
      </c>
      <c r="L8" s="69">
        <f t="shared" si="1"/>
        <v>6944.4444444444443</v>
      </c>
      <c r="M8" s="69">
        <f t="shared" si="1"/>
        <v>6944.4444444444443</v>
      </c>
      <c r="N8" s="69">
        <f t="shared" si="1"/>
        <v>6944.4444444444443</v>
      </c>
      <c r="O8" s="87">
        <f>SUM(C8:N8)</f>
        <v>83333.333333333314</v>
      </c>
    </row>
    <row r="9" spans="2:15" x14ac:dyDescent="0.25">
      <c r="B9" s="68"/>
    </row>
    <row r="10" spans="2:15" x14ac:dyDescent="0.25">
      <c r="B10" s="67" t="s">
        <v>149</v>
      </c>
      <c r="C10" s="69">
        <v>110000</v>
      </c>
      <c r="D10" s="226"/>
    </row>
    <row r="11" spans="2:15" x14ac:dyDescent="0.25">
      <c r="B11" s="67" t="s">
        <v>150</v>
      </c>
      <c r="C11" s="69"/>
      <c r="D11" s="69"/>
    </row>
    <row r="12" spans="2:15" x14ac:dyDescent="0.25">
      <c r="B12" s="67" t="s">
        <v>153</v>
      </c>
      <c r="C12" s="69"/>
      <c r="D12" s="69"/>
    </row>
    <row r="13" spans="2:15" x14ac:dyDescent="0.25">
      <c r="B13" s="71" t="s">
        <v>154</v>
      </c>
      <c r="C13" s="69">
        <f>0.17*(C10+C11)</f>
        <v>18700</v>
      </c>
      <c r="D13" s="226"/>
    </row>
    <row r="14" spans="2:15" x14ac:dyDescent="0.25">
      <c r="B14" s="67" t="s">
        <v>148</v>
      </c>
      <c r="C14" s="72">
        <f>O8</f>
        <v>83333.333333333314</v>
      </c>
      <c r="D14" s="226"/>
    </row>
    <row r="15" spans="2:15" x14ac:dyDescent="0.25">
      <c r="B15" s="68" t="s">
        <v>155</v>
      </c>
      <c r="C15" s="69">
        <f>SUM(C10:C14)</f>
        <v>212033.33333333331</v>
      </c>
      <c r="D15" s="69"/>
    </row>
    <row r="16" spans="2:15" x14ac:dyDescent="0.25">
      <c r="B16" s="68"/>
    </row>
    <row r="17" spans="1:12" x14ac:dyDescent="0.25">
      <c r="B17" s="68"/>
      <c r="C17" s="73"/>
    </row>
    <row r="18" spans="1:12" x14ac:dyDescent="0.25">
      <c r="A18" s="74"/>
      <c r="B18" s="75"/>
      <c r="C18" s="74"/>
      <c r="D18" s="74"/>
      <c r="E18" s="74"/>
      <c r="F18" s="74"/>
      <c r="G18" s="74"/>
      <c r="H18" s="74"/>
    </row>
    <row r="19" spans="1:12" ht="15.75" thickBot="1" x14ac:dyDescent="0.3">
      <c r="A19" s="74"/>
      <c r="E19" s="140"/>
      <c r="F19" s="148"/>
      <c r="G19" s="148"/>
      <c r="H19" s="74"/>
    </row>
    <row r="20" spans="1:12" ht="15.75" x14ac:dyDescent="0.25">
      <c r="A20" s="74"/>
      <c r="B20" s="76" t="s">
        <v>156</v>
      </c>
      <c r="C20" s="77" t="s">
        <v>157</v>
      </c>
      <c r="D20" s="78" t="s">
        <v>158</v>
      </c>
      <c r="E20" s="79" t="s">
        <v>159</v>
      </c>
      <c r="F20" s="85"/>
      <c r="G20" s="86"/>
      <c r="H20" s="74"/>
    </row>
    <row r="21" spans="1:12" ht="15.75" x14ac:dyDescent="0.25">
      <c r="A21" s="74"/>
      <c r="B21" s="81" t="s">
        <v>160</v>
      </c>
      <c r="C21" s="82">
        <v>0</v>
      </c>
      <c r="D21" s="83">
        <f>C15</f>
        <v>212033.33333333331</v>
      </c>
      <c r="E21" s="84">
        <v>0</v>
      </c>
      <c r="F21" s="85"/>
      <c r="G21" s="86"/>
      <c r="H21" s="74"/>
    </row>
    <row r="22" spans="1:12" ht="15.75" x14ac:dyDescent="0.25">
      <c r="A22" s="74"/>
      <c r="B22" s="81" t="s">
        <v>161</v>
      </c>
      <c r="C22" s="82">
        <f>D21+0.01</f>
        <v>212033.34333333332</v>
      </c>
      <c r="D22" s="83">
        <f>C22+49999.99</f>
        <v>262033.33333333331</v>
      </c>
      <c r="E22" s="84">
        <v>0.05</v>
      </c>
      <c r="F22" s="85"/>
      <c r="G22" s="86"/>
      <c r="H22" s="74"/>
    </row>
    <row r="23" spans="1:12" ht="15.75" x14ac:dyDescent="0.25">
      <c r="A23" s="74"/>
      <c r="B23" s="81" t="s">
        <v>162</v>
      </c>
      <c r="C23" s="82">
        <f>D22+0.01</f>
        <v>262033.34333333332</v>
      </c>
      <c r="D23" s="83">
        <f>C23+49999.99</f>
        <v>312033.33333333331</v>
      </c>
      <c r="E23" s="84">
        <v>0.1</v>
      </c>
      <c r="F23" s="85"/>
      <c r="G23" s="86"/>
      <c r="H23" s="74"/>
    </row>
    <row r="24" spans="1:12" ht="15.75" thickBot="1" x14ac:dyDescent="0.3">
      <c r="A24" s="74"/>
      <c r="B24" s="122" t="s">
        <v>163</v>
      </c>
      <c r="C24" s="123">
        <f>D23+0.01</f>
        <v>312033.34333333332</v>
      </c>
      <c r="D24" s="124">
        <v>0</v>
      </c>
      <c r="E24" s="141">
        <v>0.15</v>
      </c>
      <c r="F24" s="87"/>
      <c r="G24" s="87"/>
      <c r="H24" s="74"/>
    </row>
    <row r="25" spans="1:12" x14ac:dyDescent="0.25">
      <c r="A25" s="74"/>
      <c r="B25" s="74"/>
      <c r="C25" s="74"/>
      <c r="D25" s="74"/>
      <c r="F25" s="74"/>
      <c r="H25" s="74"/>
    </row>
    <row r="26" spans="1:12" ht="15.75" thickBot="1" x14ac:dyDescent="0.3">
      <c r="A26" s="74"/>
      <c r="H26" s="74"/>
    </row>
    <row r="27" spans="1:12" x14ac:dyDescent="0.25">
      <c r="A27" s="74"/>
      <c r="B27" s="88" t="s">
        <v>119</v>
      </c>
      <c r="C27" s="89" t="s">
        <v>164</v>
      </c>
      <c r="D27" s="89" t="s">
        <v>165</v>
      </c>
      <c r="E27" s="90" t="s">
        <v>156</v>
      </c>
      <c r="F27" s="227" t="s">
        <v>166</v>
      </c>
      <c r="G27" s="91" t="s">
        <v>167</v>
      </c>
      <c r="H27" s="74"/>
      <c r="L27" s="97"/>
    </row>
    <row r="28" spans="1:12" x14ac:dyDescent="0.25">
      <c r="A28" s="74"/>
      <c r="B28" s="92" t="s">
        <v>67</v>
      </c>
      <c r="C28" s="228">
        <v>0</v>
      </c>
      <c r="D28" s="93">
        <f>C28</f>
        <v>0</v>
      </c>
      <c r="E28" s="94" t="str">
        <f t="shared" ref="E28:E39" si="2">IF(D28="-", "", IF(AND(D28&gt;=$C$21, D28&lt;=$D$21), $B$21, IF(AND(D28&gt;=$C$22, D28&lt;=$D$22), $B$22, IF(AND(D28&gt;=$C$23, D28&lt;=$D$23), $B$23, IF(D28&gt;=$C$24, $B$24, "")))))</f>
        <v>Bracket 1</v>
      </c>
      <c r="F28" s="95">
        <f t="shared" ref="F28:F39" si="3">IF(AND(D28&gt;=$C$21, D28&lt;=$D$21), $C$22-D28, IF(AND(D28&gt;=$C$22, D28&lt;=$D$22), $C$23-D28, IF(AND(D28&gt;=$C$23, D28&lt;=$D$23), $C$24-D28, IF(D28&gt;=$C$24, 0, ""))))</f>
        <v>212033.34333333332</v>
      </c>
      <c r="G28" s="96" t="str">
        <f t="shared" ref="G28:G39" si="4">IF(OR(D28="-", D28=0), "-", MIN(D28, $D$21) * $E$21 + MAX(0, MIN(D28, $D$22) - $D$21) * $E$22 + MAX(0, MIN(D28, $D$23) - $D$22) * $E$23 + MAX(0, D28 - $D$23) * $E$24)</f>
        <v>-</v>
      </c>
      <c r="H28" s="74"/>
      <c r="L28" s="69"/>
    </row>
    <row r="29" spans="1:12" x14ac:dyDescent="0.25">
      <c r="A29" s="74"/>
      <c r="B29" s="92" t="s">
        <v>75</v>
      </c>
      <c r="C29" s="93">
        <v>0</v>
      </c>
      <c r="D29" s="93">
        <v>0</v>
      </c>
      <c r="E29" s="94" t="str">
        <f t="shared" si="2"/>
        <v>Bracket 1</v>
      </c>
      <c r="F29" s="95">
        <f t="shared" si="3"/>
        <v>212033.34333333332</v>
      </c>
      <c r="G29" s="96" t="str">
        <f t="shared" si="4"/>
        <v>-</v>
      </c>
      <c r="H29" s="74"/>
    </row>
    <row r="30" spans="1:12" x14ac:dyDescent="0.25">
      <c r="A30" s="74"/>
      <c r="B30" s="92" t="s">
        <v>76</v>
      </c>
      <c r="C30" s="93">
        <v>0</v>
      </c>
      <c r="D30" s="93">
        <v>0</v>
      </c>
      <c r="E30" s="94" t="str">
        <f t="shared" si="2"/>
        <v>Bracket 1</v>
      </c>
      <c r="F30" s="95">
        <f t="shared" si="3"/>
        <v>212033.34333333332</v>
      </c>
      <c r="G30" s="96" t="str">
        <f t="shared" si="4"/>
        <v>-</v>
      </c>
      <c r="H30" s="74"/>
    </row>
    <row r="31" spans="1:12" x14ac:dyDescent="0.25">
      <c r="A31" s="74"/>
      <c r="B31" s="92" t="s">
        <v>78</v>
      </c>
      <c r="C31" s="93">
        <v>0</v>
      </c>
      <c r="D31" s="93">
        <v>0</v>
      </c>
      <c r="E31" s="94" t="str">
        <f t="shared" si="2"/>
        <v>Bracket 1</v>
      </c>
      <c r="F31" s="95">
        <f t="shared" si="3"/>
        <v>212033.34333333332</v>
      </c>
      <c r="G31" s="96" t="str">
        <f t="shared" si="4"/>
        <v>-</v>
      </c>
      <c r="H31" s="74"/>
    </row>
    <row r="32" spans="1:12" x14ac:dyDescent="0.25">
      <c r="A32" s="74"/>
      <c r="B32" s="92" t="s">
        <v>79</v>
      </c>
      <c r="C32" s="93">
        <v>0</v>
      </c>
      <c r="D32" s="93">
        <v>0</v>
      </c>
      <c r="E32" s="94" t="str">
        <f t="shared" si="2"/>
        <v>Bracket 1</v>
      </c>
      <c r="F32" s="95">
        <f t="shared" si="3"/>
        <v>212033.34333333332</v>
      </c>
      <c r="G32" s="96" t="str">
        <f t="shared" si="4"/>
        <v>-</v>
      </c>
      <c r="H32" s="74"/>
    </row>
    <row r="33" spans="1:8" x14ac:dyDescent="0.25">
      <c r="A33" s="74"/>
      <c r="B33" s="92" t="s">
        <v>80</v>
      </c>
      <c r="C33" s="93">
        <v>0</v>
      </c>
      <c r="D33" s="93">
        <v>0</v>
      </c>
      <c r="E33" s="94" t="str">
        <f t="shared" si="2"/>
        <v>Bracket 1</v>
      </c>
      <c r="F33" s="95">
        <f t="shared" si="3"/>
        <v>212033.34333333332</v>
      </c>
      <c r="G33" s="96" t="str">
        <f t="shared" si="4"/>
        <v>-</v>
      </c>
      <c r="H33" s="74"/>
    </row>
    <row r="34" spans="1:8" x14ac:dyDescent="0.25">
      <c r="A34" s="74"/>
      <c r="B34" s="92" t="s">
        <v>81</v>
      </c>
      <c r="C34" s="93"/>
      <c r="D34" s="93" t="str">
        <f t="shared" ref="D34:D39" si="5">IF(OR(C34=0, C34=""), "-", D33+C34)</f>
        <v>-</v>
      </c>
      <c r="E34" s="94" t="str">
        <f t="shared" si="2"/>
        <v/>
      </c>
      <c r="F34" s="95">
        <f t="shared" si="3"/>
        <v>0</v>
      </c>
      <c r="G34" s="96" t="str">
        <f t="shared" si="4"/>
        <v>-</v>
      </c>
      <c r="H34" s="74"/>
    </row>
    <row r="35" spans="1:8" x14ac:dyDescent="0.25">
      <c r="A35" s="74"/>
      <c r="B35" s="92" t="s">
        <v>82</v>
      </c>
      <c r="C35" s="93"/>
      <c r="D35" s="93" t="str">
        <f t="shared" si="5"/>
        <v>-</v>
      </c>
      <c r="E35" s="94" t="str">
        <f t="shared" si="2"/>
        <v/>
      </c>
      <c r="F35" s="95">
        <f t="shared" si="3"/>
        <v>0</v>
      </c>
      <c r="G35" s="96" t="str">
        <f t="shared" si="4"/>
        <v>-</v>
      </c>
      <c r="H35" s="74"/>
    </row>
    <row r="36" spans="1:8" x14ac:dyDescent="0.25">
      <c r="A36" s="74"/>
      <c r="B36" s="92" t="s">
        <v>84</v>
      </c>
      <c r="C36" s="93"/>
      <c r="D36" s="93" t="str">
        <f t="shared" si="5"/>
        <v>-</v>
      </c>
      <c r="E36" s="94" t="str">
        <f t="shared" si="2"/>
        <v/>
      </c>
      <c r="F36" s="95">
        <f t="shared" si="3"/>
        <v>0</v>
      </c>
      <c r="G36" s="96" t="str">
        <f t="shared" si="4"/>
        <v>-</v>
      </c>
      <c r="H36" s="74"/>
    </row>
    <row r="37" spans="1:8" x14ac:dyDescent="0.25">
      <c r="A37" s="74"/>
      <c r="B37" s="92" t="s">
        <v>86</v>
      </c>
      <c r="C37" s="93"/>
      <c r="D37" s="93" t="str">
        <f t="shared" si="5"/>
        <v>-</v>
      </c>
      <c r="E37" s="94" t="str">
        <f t="shared" si="2"/>
        <v/>
      </c>
      <c r="F37" s="95">
        <f t="shared" si="3"/>
        <v>0</v>
      </c>
      <c r="G37" s="96" t="str">
        <f t="shared" si="4"/>
        <v>-</v>
      </c>
      <c r="H37" s="74"/>
    </row>
    <row r="38" spans="1:8" x14ac:dyDescent="0.25">
      <c r="A38" s="74"/>
      <c r="B38" s="92" t="s">
        <v>89</v>
      </c>
      <c r="C38" s="93" t="e">
        <f>'26 Compare'!#REF!</f>
        <v>#REF!</v>
      </c>
      <c r="D38" s="93" t="e">
        <f t="shared" si="5"/>
        <v>#REF!</v>
      </c>
      <c r="E38" s="94" t="e">
        <f t="shared" si="2"/>
        <v>#REF!</v>
      </c>
      <c r="F38" s="95" t="e">
        <f t="shared" si="3"/>
        <v>#REF!</v>
      </c>
      <c r="G38" s="96" t="e">
        <f t="shared" si="4"/>
        <v>#REF!</v>
      </c>
      <c r="H38" s="74"/>
    </row>
    <row r="39" spans="1:8" ht="15.75" thickBot="1" x14ac:dyDescent="0.3">
      <c r="A39" s="74"/>
      <c r="B39" s="126" t="s">
        <v>90</v>
      </c>
      <c r="C39" s="127" t="e">
        <f>'26 Compare'!#REF!</f>
        <v>#REF!</v>
      </c>
      <c r="D39" s="127" t="e">
        <f t="shared" si="5"/>
        <v>#REF!</v>
      </c>
      <c r="E39" s="128" t="e">
        <f t="shared" si="2"/>
        <v>#REF!</v>
      </c>
      <c r="F39" s="129" t="e">
        <f t="shared" si="3"/>
        <v>#REF!</v>
      </c>
      <c r="G39" s="142" t="e">
        <f t="shared" si="4"/>
        <v>#REF!</v>
      </c>
      <c r="H39" s="74"/>
    </row>
    <row r="40" spans="1:8" ht="15.75" thickBot="1" x14ac:dyDescent="0.3">
      <c r="A40" s="74"/>
      <c r="B40" s="75"/>
      <c r="C40" s="75"/>
      <c r="D40" s="98"/>
      <c r="E40" s="74"/>
      <c r="F40" s="74"/>
      <c r="G40" s="130" t="e">
        <f>SUM(G28:G39)</f>
        <v>#REF!</v>
      </c>
      <c r="H40" s="74"/>
    </row>
  </sheetData>
  <mergeCells count="2">
    <mergeCell ref="B1:F1"/>
    <mergeCell ref="B2: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21D7-9492-4D3F-8A30-470840E9EC0D}">
  <dimension ref="A1:O40"/>
  <sheetViews>
    <sheetView zoomScale="115" zoomScaleNormal="115" workbookViewId="0">
      <selection activeCell="F16" sqref="F16"/>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216</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f t="shared" ref="C6:N6" si="0">500000/12</f>
        <v>41666.666666666664</v>
      </c>
      <c r="D6" s="69">
        <f t="shared" si="0"/>
        <v>41666.666666666664</v>
      </c>
      <c r="E6" s="69">
        <f t="shared" si="0"/>
        <v>41666.666666666664</v>
      </c>
      <c r="F6" s="69">
        <f t="shared" si="0"/>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ref="M6" si="1">500000/12</f>
        <v>41666.666666666664</v>
      </c>
      <c r="N6" s="69">
        <f t="shared" si="0"/>
        <v>41666.666666666664</v>
      </c>
      <c r="O6" s="69">
        <f>SUM(C6:N6)</f>
        <v>500000.00000000006</v>
      </c>
    </row>
    <row r="7" spans="2:15" x14ac:dyDescent="0.25">
      <c r="B7" s="68" t="s">
        <v>147</v>
      </c>
      <c r="C7" s="70">
        <v>6</v>
      </c>
      <c r="D7" s="70">
        <v>6</v>
      </c>
      <c r="E7" s="70">
        <v>6</v>
      </c>
      <c r="F7" s="70">
        <v>6</v>
      </c>
      <c r="G7" s="70">
        <v>6</v>
      </c>
      <c r="H7" s="70">
        <v>6</v>
      </c>
      <c r="I7" s="70">
        <v>6</v>
      </c>
      <c r="J7" s="70">
        <v>6</v>
      </c>
      <c r="K7" s="70">
        <v>6</v>
      </c>
      <c r="L7" s="70">
        <v>6</v>
      </c>
      <c r="M7" s="70">
        <v>6</v>
      </c>
      <c r="N7" s="70">
        <v>6</v>
      </c>
      <c r="O7" s="68"/>
    </row>
    <row r="8" spans="2:15" x14ac:dyDescent="0.25">
      <c r="B8" s="68" t="s">
        <v>148</v>
      </c>
      <c r="C8" s="69">
        <f>C6/C7</f>
        <v>6944.4444444444443</v>
      </c>
      <c r="D8" s="69">
        <f>D6/D7</f>
        <v>6944.4444444444443</v>
      </c>
      <c r="E8" s="69">
        <f>E6/E7</f>
        <v>6944.4444444444443</v>
      </c>
      <c r="F8" s="69">
        <f t="shared" ref="F8:N8" si="2">F6/F7</f>
        <v>6944.4444444444443</v>
      </c>
      <c r="G8" s="69">
        <f t="shared" si="2"/>
        <v>6944.4444444444443</v>
      </c>
      <c r="H8" s="69">
        <f t="shared" si="2"/>
        <v>6944.4444444444443</v>
      </c>
      <c r="I8" s="69">
        <f t="shared" si="2"/>
        <v>6944.4444444444443</v>
      </c>
      <c r="J8" s="69">
        <f t="shared" si="2"/>
        <v>6944.4444444444443</v>
      </c>
      <c r="K8" s="69">
        <f t="shared" si="2"/>
        <v>6944.4444444444443</v>
      </c>
      <c r="L8" s="69">
        <f t="shared" si="2"/>
        <v>6944.4444444444443</v>
      </c>
      <c r="M8" s="69">
        <f t="shared" si="2"/>
        <v>6944.4444444444443</v>
      </c>
      <c r="N8" s="69">
        <f t="shared" si="2"/>
        <v>6944.4444444444443</v>
      </c>
      <c r="O8" s="87">
        <f>SUM(C8:N8)</f>
        <v>83333.333333333314</v>
      </c>
    </row>
    <row r="9" spans="2:15" x14ac:dyDescent="0.25">
      <c r="B9" s="68"/>
    </row>
    <row r="10" spans="2:15" x14ac:dyDescent="0.25">
      <c r="B10" s="67" t="s">
        <v>149</v>
      </c>
      <c r="C10" s="69">
        <v>137500</v>
      </c>
      <c r="D10" s="226" t="s">
        <v>174</v>
      </c>
    </row>
    <row r="11" spans="2:15" x14ac:dyDescent="0.25">
      <c r="B11" s="67" t="s">
        <v>150</v>
      </c>
      <c r="C11" s="69"/>
      <c r="D11" s="69"/>
    </row>
    <row r="12" spans="2:15" x14ac:dyDescent="0.25">
      <c r="B12" s="67" t="s">
        <v>153</v>
      </c>
      <c r="C12" s="69"/>
      <c r="D12" s="69"/>
    </row>
    <row r="13" spans="2:15" x14ac:dyDescent="0.25">
      <c r="B13" s="71" t="s">
        <v>154</v>
      </c>
      <c r="C13" s="69">
        <f>0.17*(C10+C11)</f>
        <v>23375</v>
      </c>
      <c r="D13" s="226"/>
    </row>
    <row r="14" spans="2:15" x14ac:dyDescent="0.25">
      <c r="B14" s="67" t="s">
        <v>148</v>
      </c>
      <c r="C14" s="72">
        <f>O8</f>
        <v>83333.333333333314</v>
      </c>
      <c r="D14" s="226"/>
    </row>
    <row r="15" spans="2:15" x14ac:dyDescent="0.25">
      <c r="B15" s="68" t="s">
        <v>155</v>
      </c>
      <c r="C15" s="69">
        <f>SUM(C10:C14)</f>
        <v>244208.33333333331</v>
      </c>
      <c r="D15" s="69"/>
    </row>
    <row r="16" spans="2:15" x14ac:dyDescent="0.25">
      <c r="B16" s="68"/>
    </row>
    <row r="17" spans="1:12" x14ac:dyDescent="0.25">
      <c r="B17" s="68"/>
      <c r="C17" s="73"/>
    </row>
    <row r="18" spans="1:12" x14ac:dyDescent="0.25">
      <c r="A18" s="74"/>
      <c r="B18" s="75"/>
      <c r="C18" s="74"/>
      <c r="D18" s="74"/>
      <c r="E18" s="74"/>
      <c r="F18" s="74"/>
      <c r="G18" s="74"/>
      <c r="H18" s="74"/>
    </row>
    <row r="19" spans="1:12" ht="15.75" thickBot="1" x14ac:dyDescent="0.3">
      <c r="A19" s="74"/>
      <c r="E19" s="140"/>
      <c r="F19" s="148"/>
      <c r="G19" s="148"/>
      <c r="H19" s="74"/>
    </row>
    <row r="20" spans="1:12" ht="15.75" x14ac:dyDescent="0.25">
      <c r="A20" s="74"/>
      <c r="B20" s="76" t="s">
        <v>156</v>
      </c>
      <c r="C20" s="77" t="s">
        <v>157</v>
      </c>
      <c r="D20" s="78" t="s">
        <v>158</v>
      </c>
      <c r="E20" s="79" t="s">
        <v>159</v>
      </c>
      <c r="F20" s="85"/>
      <c r="G20" s="86"/>
      <c r="H20" s="74"/>
    </row>
    <row r="21" spans="1:12" ht="15.75" x14ac:dyDescent="0.25">
      <c r="A21" s="74"/>
      <c r="B21" s="81" t="s">
        <v>160</v>
      </c>
      <c r="C21" s="82">
        <v>0</v>
      </c>
      <c r="D21" s="83">
        <f>C15</f>
        <v>244208.33333333331</v>
      </c>
      <c r="E21" s="84">
        <v>0</v>
      </c>
      <c r="F21" s="85"/>
      <c r="G21" s="86"/>
      <c r="H21" s="74"/>
    </row>
    <row r="22" spans="1:12" ht="15.75" x14ac:dyDescent="0.25">
      <c r="A22" s="74"/>
      <c r="B22" s="81" t="s">
        <v>161</v>
      </c>
      <c r="C22" s="82">
        <f>D21+0.01</f>
        <v>244208.34333333332</v>
      </c>
      <c r="D22" s="83">
        <f>C22+49999.99</f>
        <v>294208.33333333331</v>
      </c>
      <c r="E22" s="84">
        <v>0.05</v>
      </c>
      <c r="F22" s="85"/>
      <c r="G22" s="86"/>
      <c r="H22" s="74"/>
    </row>
    <row r="23" spans="1:12" ht="15.75" x14ac:dyDescent="0.25">
      <c r="A23" s="74"/>
      <c r="B23" s="81" t="s">
        <v>162</v>
      </c>
      <c r="C23" s="82">
        <f>D22+0.01</f>
        <v>294208.34333333332</v>
      </c>
      <c r="D23" s="83">
        <f>C23+49999.99</f>
        <v>344208.33333333331</v>
      </c>
      <c r="E23" s="84">
        <v>0.1</v>
      </c>
      <c r="F23" s="85"/>
      <c r="G23" s="86"/>
      <c r="H23" s="74"/>
    </row>
    <row r="24" spans="1:12" ht="15.75" thickBot="1" x14ac:dyDescent="0.3">
      <c r="A24" s="74"/>
      <c r="B24" s="122" t="s">
        <v>163</v>
      </c>
      <c r="C24" s="123">
        <f>D23+0.01</f>
        <v>344208.34333333332</v>
      </c>
      <c r="D24" s="124">
        <v>0</v>
      </c>
      <c r="E24" s="141">
        <v>0.15</v>
      </c>
      <c r="F24" s="87"/>
      <c r="G24" s="87"/>
      <c r="H24" s="74"/>
    </row>
    <row r="25" spans="1:12" x14ac:dyDescent="0.25">
      <c r="A25" s="74"/>
      <c r="B25" s="74"/>
      <c r="C25" s="74"/>
      <c r="D25" s="74"/>
      <c r="F25" s="74"/>
      <c r="H25" s="74"/>
    </row>
    <row r="26" spans="1:12" ht="15.75" thickBot="1" x14ac:dyDescent="0.3">
      <c r="A26" s="74"/>
      <c r="H26" s="74"/>
    </row>
    <row r="27" spans="1:12" x14ac:dyDescent="0.25">
      <c r="A27" s="74"/>
      <c r="B27" s="88" t="s">
        <v>119</v>
      </c>
      <c r="C27" s="89" t="s">
        <v>164</v>
      </c>
      <c r="D27" s="89" t="s">
        <v>165</v>
      </c>
      <c r="E27" s="90" t="s">
        <v>156</v>
      </c>
      <c r="F27" s="227" t="s">
        <v>166</v>
      </c>
      <c r="G27" s="91" t="s">
        <v>167</v>
      </c>
      <c r="H27" s="74"/>
      <c r="L27" s="97"/>
    </row>
    <row r="28" spans="1:12" x14ac:dyDescent="0.25">
      <c r="A28" s="74"/>
      <c r="B28" s="92" t="s">
        <v>67</v>
      </c>
      <c r="C28" s="228">
        <v>0</v>
      </c>
      <c r="D28" s="93">
        <f>C28</f>
        <v>0</v>
      </c>
      <c r="E28" s="94" t="str">
        <f t="shared" ref="E28:E39" si="3">IF(D28="-", "", IF(AND(D28&gt;=$C$21, D28&lt;=$D$21), $B$21, IF(AND(D28&gt;=$C$22, D28&lt;=$D$22), $B$22, IF(AND(D28&gt;=$C$23, D28&lt;=$D$23), $B$23, IF(D28&gt;=$C$24, $B$24, "")))))</f>
        <v>Bracket 1</v>
      </c>
      <c r="F28" s="95">
        <f t="shared" ref="F28:F39" si="4">IF(AND(D28&gt;=$C$21, D28&lt;=$D$21), $C$22-D28, IF(AND(D28&gt;=$C$22, D28&lt;=$D$22), $C$23-D28, IF(AND(D28&gt;=$C$23, D28&lt;=$D$23), $C$24-D28, IF(D28&gt;=$C$24, 0, ""))))</f>
        <v>244208.34333333332</v>
      </c>
      <c r="G28" s="96" t="str">
        <f t="shared" ref="G28:G39" si="5">IF(OR(D28="-", D28=0), "-", MIN(D28, $D$21) * $E$21 + MAX(0, MIN(D28, $D$22) - $D$21) * $E$22 + MAX(0, MIN(D28, $D$23) - $D$22) * $E$23 + MAX(0, D28 - $D$23) * $E$24)</f>
        <v>-</v>
      </c>
      <c r="H28" s="74"/>
      <c r="L28" s="69"/>
    </row>
    <row r="29" spans="1:12" x14ac:dyDescent="0.25">
      <c r="A29" s="74"/>
      <c r="B29" s="92" t="s">
        <v>75</v>
      </c>
      <c r="C29" s="93">
        <v>0</v>
      </c>
      <c r="D29" s="93">
        <v>0</v>
      </c>
      <c r="E29" s="94" t="str">
        <f t="shared" si="3"/>
        <v>Bracket 1</v>
      </c>
      <c r="F29" s="95">
        <f t="shared" si="4"/>
        <v>244208.34333333332</v>
      </c>
      <c r="G29" s="96" t="str">
        <f t="shared" si="5"/>
        <v>-</v>
      </c>
      <c r="H29" s="74"/>
    </row>
    <row r="30" spans="1:12" x14ac:dyDescent="0.25">
      <c r="A30" s="74"/>
      <c r="B30" s="92" t="s">
        <v>76</v>
      </c>
      <c r="C30" s="93">
        <v>0</v>
      </c>
      <c r="D30" s="93">
        <v>0</v>
      </c>
      <c r="E30" s="94" t="str">
        <f t="shared" si="3"/>
        <v>Bracket 1</v>
      </c>
      <c r="F30" s="95">
        <f t="shared" si="4"/>
        <v>244208.34333333332</v>
      </c>
      <c r="G30" s="96" t="str">
        <f t="shared" si="5"/>
        <v>-</v>
      </c>
      <c r="H30" s="74"/>
    </row>
    <row r="31" spans="1:12" x14ac:dyDescent="0.25">
      <c r="A31" s="74"/>
      <c r="B31" s="92" t="s">
        <v>78</v>
      </c>
      <c r="C31" s="93">
        <v>0</v>
      </c>
      <c r="D31" s="93">
        <v>0</v>
      </c>
      <c r="E31" s="94" t="str">
        <f t="shared" si="3"/>
        <v>Bracket 1</v>
      </c>
      <c r="F31" s="95">
        <f t="shared" si="4"/>
        <v>244208.34333333332</v>
      </c>
      <c r="G31" s="96" t="str">
        <f t="shared" si="5"/>
        <v>-</v>
      </c>
      <c r="H31" s="74"/>
    </row>
    <row r="32" spans="1:12" x14ac:dyDescent="0.25">
      <c r="A32" s="74"/>
      <c r="B32" s="92" t="s">
        <v>79</v>
      </c>
      <c r="C32" s="93">
        <v>0</v>
      </c>
      <c r="D32" s="93">
        <v>0</v>
      </c>
      <c r="E32" s="94" t="str">
        <f t="shared" si="3"/>
        <v>Bracket 1</v>
      </c>
      <c r="F32" s="95">
        <f t="shared" si="4"/>
        <v>244208.34333333332</v>
      </c>
      <c r="G32" s="96" t="str">
        <f t="shared" si="5"/>
        <v>-</v>
      </c>
      <c r="H32" s="74"/>
    </row>
    <row r="33" spans="1:8" x14ac:dyDescent="0.25">
      <c r="A33" s="74"/>
      <c r="B33" s="92" t="s">
        <v>80</v>
      </c>
      <c r="C33" s="93">
        <v>0</v>
      </c>
      <c r="D33" s="93">
        <v>0</v>
      </c>
      <c r="E33" s="94" t="str">
        <f t="shared" si="3"/>
        <v>Bracket 1</v>
      </c>
      <c r="F33" s="95">
        <f t="shared" si="4"/>
        <v>244208.34333333332</v>
      </c>
      <c r="G33" s="96" t="str">
        <f t="shared" si="5"/>
        <v>-</v>
      </c>
      <c r="H33" s="74"/>
    </row>
    <row r="34" spans="1:8" x14ac:dyDescent="0.25">
      <c r="A34" s="74"/>
      <c r="B34" s="92" t="s">
        <v>81</v>
      </c>
      <c r="C34" s="93"/>
      <c r="D34" s="93" t="str">
        <f t="shared" ref="D34:D39" si="6">IF(OR(C34=0, C34=""), "-", D33+C34)</f>
        <v>-</v>
      </c>
      <c r="E34" s="94" t="str">
        <f t="shared" si="3"/>
        <v/>
      </c>
      <c r="F34" s="95">
        <f t="shared" si="4"/>
        <v>0</v>
      </c>
      <c r="G34" s="96" t="str">
        <f t="shared" si="5"/>
        <v>-</v>
      </c>
      <c r="H34" s="74"/>
    </row>
    <row r="35" spans="1:8" x14ac:dyDescent="0.25">
      <c r="A35" s="74"/>
      <c r="B35" s="92" t="s">
        <v>82</v>
      </c>
      <c r="C35" s="93"/>
      <c r="D35" s="93" t="str">
        <f t="shared" si="6"/>
        <v>-</v>
      </c>
      <c r="E35" s="94" t="str">
        <f t="shared" si="3"/>
        <v/>
      </c>
      <c r="F35" s="95">
        <f t="shared" si="4"/>
        <v>0</v>
      </c>
      <c r="G35" s="96" t="str">
        <f t="shared" si="5"/>
        <v>-</v>
      </c>
      <c r="H35" s="74"/>
    </row>
    <row r="36" spans="1:8" x14ac:dyDescent="0.25">
      <c r="A36" s="74"/>
      <c r="B36" s="92" t="s">
        <v>84</v>
      </c>
      <c r="C36" s="93"/>
      <c r="D36" s="93" t="str">
        <f t="shared" si="6"/>
        <v>-</v>
      </c>
      <c r="E36" s="94" t="str">
        <f t="shared" si="3"/>
        <v/>
      </c>
      <c r="F36" s="95">
        <f t="shared" si="4"/>
        <v>0</v>
      </c>
      <c r="G36" s="96" t="str">
        <f t="shared" si="5"/>
        <v>-</v>
      </c>
      <c r="H36" s="74"/>
    </row>
    <row r="37" spans="1:8" x14ac:dyDescent="0.25">
      <c r="A37" s="74"/>
      <c r="B37" s="92" t="s">
        <v>86</v>
      </c>
      <c r="C37" s="93"/>
      <c r="D37" s="93" t="str">
        <f t="shared" si="6"/>
        <v>-</v>
      </c>
      <c r="E37" s="94" t="str">
        <f t="shared" si="3"/>
        <v/>
      </c>
      <c r="F37" s="95">
        <f t="shared" si="4"/>
        <v>0</v>
      </c>
      <c r="G37" s="96" t="str">
        <f t="shared" si="5"/>
        <v>-</v>
      </c>
      <c r="H37" s="74"/>
    </row>
    <row r="38" spans="1:8" x14ac:dyDescent="0.25">
      <c r="A38" s="74"/>
      <c r="B38" s="92" t="s">
        <v>89</v>
      </c>
      <c r="C38" s="93" t="e">
        <f>'26 Compare'!#REF!</f>
        <v>#REF!</v>
      </c>
      <c r="D38" s="93" t="e">
        <f t="shared" si="6"/>
        <v>#REF!</v>
      </c>
      <c r="E38" s="94" t="e">
        <f t="shared" si="3"/>
        <v>#REF!</v>
      </c>
      <c r="F38" s="95" t="e">
        <f t="shared" si="4"/>
        <v>#REF!</v>
      </c>
      <c r="G38" s="96" t="e">
        <f t="shared" si="5"/>
        <v>#REF!</v>
      </c>
      <c r="H38" s="74"/>
    </row>
    <row r="39" spans="1:8" ht="15.75" thickBot="1" x14ac:dyDescent="0.3">
      <c r="A39" s="74"/>
      <c r="B39" s="126" t="s">
        <v>90</v>
      </c>
      <c r="C39" s="127" t="e">
        <f>'26 Compare'!#REF!</f>
        <v>#REF!</v>
      </c>
      <c r="D39" s="127" t="e">
        <f t="shared" si="6"/>
        <v>#REF!</v>
      </c>
      <c r="E39" s="128" t="e">
        <f t="shared" si="3"/>
        <v>#REF!</v>
      </c>
      <c r="F39" s="129" t="e">
        <f t="shared" si="4"/>
        <v>#REF!</v>
      </c>
      <c r="G39" s="142" t="e">
        <f t="shared" si="5"/>
        <v>#REF!</v>
      </c>
      <c r="H39" s="74"/>
    </row>
    <row r="40" spans="1:8" ht="15.75" thickBot="1" x14ac:dyDescent="0.3">
      <c r="A40" s="74"/>
      <c r="B40" s="75"/>
      <c r="C40" s="75"/>
      <c r="D40" s="98"/>
      <c r="E40" s="74"/>
      <c r="F40" s="74"/>
      <c r="G40" s="130" t="e">
        <f>SUM(G28:G39)</f>
        <v>#REF!</v>
      </c>
      <c r="H40" s="74"/>
    </row>
  </sheetData>
  <mergeCells count="2">
    <mergeCell ref="B1:F1"/>
    <mergeCell ref="B2:F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C7C1-8B4D-455F-96C2-F7A38476FAAC}">
  <dimension ref="A1:O39"/>
  <sheetViews>
    <sheetView zoomScale="115" zoomScaleNormal="115" workbookViewId="0">
      <selection activeCell="B4" sqref="B4"/>
    </sheetView>
  </sheetViews>
  <sheetFormatPr defaultColWidth="8.75" defaultRowHeight="15" x14ac:dyDescent="0.25"/>
  <cols>
    <col min="1" max="1" width="1.875" style="67" customWidth="1"/>
    <col min="2" max="2" width="21.25" style="67" customWidth="1"/>
    <col min="3" max="3" width="12.25" style="67" customWidth="1"/>
    <col min="4" max="4" width="14.375" style="67" customWidth="1"/>
    <col min="5" max="5" width="10.75" style="67" customWidth="1"/>
    <col min="6" max="6" width="13.75" style="67" customWidth="1"/>
    <col min="7" max="7" width="12.25" style="67" customWidth="1"/>
    <col min="8" max="8" width="11.25" style="67" customWidth="1"/>
    <col min="9" max="9" width="9.75" style="67" customWidth="1"/>
    <col min="10" max="10" width="9.25" style="67" customWidth="1"/>
    <col min="11" max="11" width="9.75" style="67" customWidth="1"/>
    <col min="12" max="12" width="11.25" style="67" bestFit="1" customWidth="1"/>
    <col min="13" max="13" width="11.25" style="67" customWidth="1"/>
    <col min="14" max="14" width="11.5" style="67" customWidth="1"/>
    <col min="15" max="15" width="12.375" style="67" customWidth="1"/>
    <col min="16" max="16384" width="8.75" style="67"/>
  </cols>
  <sheetData>
    <row r="1" spans="2:15" x14ac:dyDescent="0.25">
      <c r="B1" s="395" t="s">
        <v>133</v>
      </c>
      <c r="C1" s="395"/>
      <c r="D1" s="395"/>
      <c r="E1" s="395"/>
      <c r="F1" s="395"/>
    </row>
    <row r="2" spans="2:15" x14ac:dyDescent="0.25">
      <c r="B2" s="395" t="s">
        <v>134</v>
      </c>
      <c r="C2" s="395"/>
      <c r="D2" s="395"/>
      <c r="E2" s="395"/>
      <c r="F2" s="395"/>
    </row>
    <row r="3" spans="2:15" x14ac:dyDescent="0.25">
      <c r="B3" s="68" t="s">
        <v>215</v>
      </c>
    </row>
    <row r="4" spans="2:15" x14ac:dyDescent="0.25">
      <c r="B4" s="68" t="s">
        <v>214</v>
      </c>
    </row>
    <row r="5" spans="2:15" x14ac:dyDescent="0.25">
      <c r="B5" s="68"/>
      <c r="C5" s="148" t="s">
        <v>135</v>
      </c>
      <c r="D5" s="148" t="s">
        <v>136</v>
      </c>
      <c r="E5" s="148" t="s">
        <v>137</v>
      </c>
      <c r="F5" s="148" t="s">
        <v>138</v>
      </c>
      <c r="G5" s="148" t="s">
        <v>79</v>
      </c>
      <c r="H5" s="148" t="s">
        <v>139</v>
      </c>
      <c r="I5" s="148" t="s">
        <v>140</v>
      </c>
      <c r="J5" s="148" t="s">
        <v>141</v>
      </c>
      <c r="K5" s="148" t="s">
        <v>142</v>
      </c>
      <c r="L5" s="148" t="s">
        <v>143</v>
      </c>
      <c r="M5" s="148" t="s">
        <v>144</v>
      </c>
      <c r="N5" s="148" t="s">
        <v>145</v>
      </c>
      <c r="O5" s="148" t="s">
        <v>53</v>
      </c>
    </row>
    <row r="6" spans="2:15" x14ac:dyDescent="0.25">
      <c r="B6" s="68" t="s">
        <v>146</v>
      </c>
      <c r="C6" s="69"/>
      <c r="D6" s="69"/>
      <c r="E6" s="69">
        <f>500000/12</f>
        <v>41666.666666666664</v>
      </c>
      <c r="F6" s="69">
        <f t="shared" ref="F6:N6" si="0">500000/12</f>
        <v>41666.666666666664</v>
      </c>
      <c r="G6" s="69">
        <f t="shared" si="0"/>
        <v>41666.666666666664</v>
      </c>
      <c r="H6" s="69">
        <f t="shared" si="0"/>
        <v>41666.666666666664</v>
      </c>
      <c r="I6" s="69">
        <f t="shared" si="0"/>
        <v>41666.666666666664</v>
      </c>
      <c r="J6" s="69">
        <f t="shared" si="0"/>
        <v>41666.666666666664</v>
      </c>
      <c r="K6" s="69">
        <f t="shared" si="0"/>
        <v>41666.666666666664</v>
      </c>
      <c r="L6" s="69">
        <f t="shared" si="0"/>
        <v>41666.666666666664</v>
      </c>
      <c r="M6" s="69">
        <f t="shared" si="0"/>
        <v>41666.666666666664</v>
      </c>
      <c r="N6" s="69">
        <f t="shared" si="0"/>
        <v>41666.666666666664</v>
      </c>
      <c r="O6" s="87"/>
    </row>
    <row r="7" spans="2:15" x14ac:dyDescent="0.25">
      <c r="B7" s="68" t="s">
        <v>147</v>
      </c>
      <c r="C7" s="70">
        <v>5</v>
      </c>
      <c r="D7" s="70">
        <v>5</v>
      </c>
      <c r="E7" s="70">
        <v>6</v>
      </c>
      <c r="F7" s="70">
        <v>6</v>
      </c>
      <c r="G7" s="70">
        <v>6</v>
      </c>
      <c r="H7" s="70">
        <v>5</v>
      </c>
      <c r="I7" s="70">
        <v>5</v>
      </c>
      <c r="J7" s="70">
        <v>5</v>
      </c>
      <c r="K7" s="70">
        <v>5</v>
      </c>
      <c r="L7" s="70">
        <v>5</v>
      </c>
      <c r="M7" s="70">
        <v>6</v>
      </c>
      <c r="N7" s="70">
        <v>7</v>
      </c>
      <c r="O7" s="68"/>
    </row>
    <row r="8" spans="2:15" x14ac:dyDescent="0.25">
      <c r="B8" s="68" t="s">
        <v>148</v>
      </c>
      <c r="C8" s="69"/>
      <c r="D8" s="69"/>
      <c r="E8" s="69">
        <f>E6/E7</f>
        <v>6944.4444444444443</v>
      </c>
      <c r="F8" s="69">
        <f t="shared" ref="F8:N8" si="1">F6/F7</f>
        <v>6944.4444444444443</v>
      </c>
      <c r="G8" s="69">
        <f t="shared" si="1"/>
        <v>6944.4444444444443</v>
      </c>
      <c r="H8" s="69">
        <f t="shared" si="1"/>
        <v>8333.3333333333321</v>
      </c>
      <c r="I8" s="69">
        <f t="shared" si="1"/>
        <v>8333.3333333333321</v>
      </c>
      <c r="J8" s="69">
        <f t="shared" si="1"/>
        <v>8333.3333333333321</v>
      </c>
      <c r="K8" s="69">
        <f t="shared" si="1"/>
        <v>8333.3333333333321</v>
      </c>
      <c r="L8" s="69">
        <f t="shared" si="1"/>
        <v>8333.3333333333321</v>
      </c>
      <c r="M8" s="69">
        <f t="shared" si="1"/>
        <v>6944.4444444444443</v>
      </c>
      <c r="N8" s="69">
        <f t="shared" si="1"/>
        <v>5952.3809523809523</v>
      </c>
      <c r="O8" s="87">
        <f>SUM(C8:N8)</f>
        <v>75396.82539682537</v>
      </c>
    </row>
    <row r="9" spans="2:15" x14ac:dyDescent="0.25">
      <c r="B9" s="68"/>
    </row>
    <row r="10" spans="2:15" x14ac:dyDescent="0.25">
      <c r="B10" s="67" t="s">
        <v>149</v>
      </c>
      <c r="C10" s="69">
        <f>(10/12)*155000</f>
        <v>129166.66666666667</v>
      </c>
      <c r="D10" s="226"/>
    </row>
    <row r="11" spans="2:15" x14ac:dyDescent="0.25">
      <c r="B11" s="365" t="s">
        <v>152</v>
      </c>
      <c r="C11" s="69"/>
      <c r="D11" s="69"/>
    </row>
    <row r="12" spans="2:15" x14ac:dyDescent="0.25">
      <c r="B12" s="71" t="s">
        <v>154</v>
      </c>
      <c r="C12" s="69">
        <f>0.17*(C10+C11)</f>
        <v>21958.333333333336</v>
      </c>
      <c r="D12" s="69"/>
    </row>
    <row r="13" spans="2:15" x14ac:dyDescent="0.25">
      <c r="B13" s="67" t="s">
        <v>148</v>
      </c>
      <c r="C13" s="72">
        <f>O8</f>
        <v>75396.82539682537</v>
      </c>
      <c r="D13" s="69"/>
    </row>
    <row r="14" spans="2:15" x14ac:dyDescent="0.25">
      <c r="B14" s="68" t="s">
        <v>155</v>
      </c>
      <c r="C14" s="69">
        <f>SUM(C10:C13)</f>
        <v>226521.82539682538</v>
      </c>
      <c r="D14" s="69"/>
    </row>
    <row r="15" spans="2:15" x14ac:dyDescent="0.25">
      <c r="B15" s="68"/>
    </row>
    <row r="16" spans="2:15" x14ac:dyDescent="0.25">
      <c r="B16" s="68"/>
      <c r="C16" s="73"/>
    </row>
    <row r="17" spans="1:12" x14ac:dyDescent="0.25">
      <c r="A17" s="74"/>
      <c r="B17" s="75"/>
      <c r="C17" s="74"/>
      <c r="D17" s="74"/>
      <c r="E17" s="74"/>
      <c r="F17" s="74"/>
      <c r="G17" s="74"/>
      <c r="H17" s="74"/>
    </row>
    <row r="18" spans="1:12" ht="15.75" thickBot="1" x14ac:dyDescent="0.3">
      <c r="A18" s="74"/>
      <c r="E18" s="140"/>
      <c r="F18" s="148"/>
      <c r="G18" s="148"/>
      <c r="H18" s="74"/>
    </row>
    <row r="19" spans="1:12" ht="15.75" x14ac:dyDescent="0.25">
      <c r="A19" s="74"/>
      <c r="B19" s="76" t="s">
        <v>156</v>
      </c>
      <c r="C19" s="77" t="s">
        <v>157</v>
      </c>
      <c r="D19" s="78" t="s">
        <v>158</v>
      </c>
      <c r="E19" s="79" t="s">
        <v>159</v>
      </c>
      <c r="F19" s="85"/>
      <c r="G19" s="86"/>
      <c r="H19" s="74"/>
    </row>
    <row r="20" spans="1:12" ht="15.75" x14ac:dyDescent="0.25">
      <c r="A20" s="74"/>
      <c r="B20" s="81" t="s">
        <v>160</v>
      </c>
      <c r="C20" s="82">
        <v>0</v>
      </c>
      <c r="D20" s="83">
        <f>C14</f>
        <v>226521.82539682538</v>
      </c>
      <c r="E20" s="84">
        <v>0</v>
      </c>
      <c r="F20" s="85"/>
      <c r="G20" s="86"/>
      <c r="H20" s="74"/>
    </row>
    <row r="21" spans="1:12" ht="15.75" x14ac:dyDescent="0.25">
      <c r="A21" s="74"/>
      <c r="B21" s="81" t="s">
        <v>161</v>
      </c>
      <c r="C21" s="82">
        <f>D20+0.01</f>
        <v>226521.83539682539</v>
      </c>
      <c r="D21" s="83">
        <f>C21+49999.99</f>
        <v>276521.82539682538</v>
      </c>
      <c r="E21" s="84">
        <v>0.05</v>
      </c>
      <c r="F21" s="85"/>
      <c r="G21" s="86"/>
      <c r="H21" s="74"/>
    </row>
    <row r="22" spans="1:12" ht="15.75" x14ac:dyDescent="0.25">
      <c r="A22" s="74"/>
      <c r="B22" s="81" t="s">
        <v>162</v>
      </c>
      <c r="C22" s="82">
        <f>D21+0.01</f>
        <v>276521.83539682539</v>
      </c>
      <c r="D22" s="83">
        <f>C22+49999.99</f>
        <v>326521.82539682538</v>
      </c>
      <c r="E22" s="84">
        <v>0.1</v>
      </c>
      <c r="F22" s="85"/>
      <c r="G22" s="86"/>
      <c r="H22" s="74"/>
    </row>
    <row r="23" spans="1:12" ht="15.75" thickBot="1" x14ac:dyDescent="0.3">
      <c r="A23" s="74"/>
      <c r="B23" s="122" t="s">
        <v>163</v>
      </c>
      <c r="C23" s="123">
        <f>D22+0.01</f>
        <v>326521.83539682539</v>
      </c>
      <c r="D23" s="124">
        <v>0</v>
      </c>
      <c r="E23" s="141">
        <v>0.15</v>
      </c>
      <c r="F23" s="87"/>
      <c r="G23" s="87"/>
      <c r="H23" s="74"/>
    </row>
    <row r="24" spans="1:12" x14ac:dyDescent="0.25">
      <c r="A24" s="74"/>
      <c r="B24" s="74"/>
      <c r="C24" s="74"/>
      <c r="D24" s="74"/>
      <c r="F24" s="74"/>
      <c r="H24" s="74"/>
    </row>
    <row r="25" spans="1:12" ht="15.75" thickBot="1" x14ac:dyDescent="0.3">
      <c r="A25" s="74"/>
    </row>
    <row r="26" spans="1:12" x14ac:dyDescent="0.25">
      <c r="A26" s="74"/>
      <c r="B26" s="88" t="s">
        <v>119</v>
      </c>
      <c r="C26" s="89" t="s">
        <v>164</v>
      </c>
      <c r="D26" s="89" t="s">
        <v>165</v>
      </c>
      <c r="E26" s="90" t="s">
        <v>156</v>
      </c>
      <c r="F26" s="227" t="s">
        <v>166</v>
      </c>
      <c r="G26" s="91" t="s">
        <v>167</v>
      </c>
      <c r="H26" s="74"/>
      <c r="L26" s="97"/>
    </row>
    <row r="27" spans="1:12" x14ac:dyDescent="0.25">
      <c r="A27" s="74"/>
      <c r="B27" s="92" t="s">
        <v>67</v>
      </c>
      <c r="C27" s="228">
        <v>0</v>
      </c>
      <c r="D27" s="93">
        <f>C27</f>
        <v>0</v>
      </c>
      <c r="E27" s="94" t="str">
        <f t="shared" ref="E27:E38" si="2">IF(D27="-", "", IF(AND(D27&gt;=$C$20, D27&lt;=$D$20), $B$20, IF(AND(D27&gt;=$C$21, D27&lt;=$D$21), $B$21, IF(AND(D27&gt;=$C$22, D27&lt;=$D$22), $B$22, IF(D27&gt;=$C$23, $B$23, "")))))</f>
        <v>Bracket 1</v>
      </c>
      <c r="F27" s="95">
        <f t="shared" ref="F27:F38" si="3">IF(AND(D27&gt;=$C$20, D27&lt;=$D$20), $C$21-D27, IF(AND(D27&gt;=$C$21, D27&lt;=$D$21), $C$22-D27, IF(AND(D27&gt;=$C$22, D27&lt;=$D$22), $C$23-D27, IF(D27&gt;=$C$23, 0, ""))))</f>
        <v>226521.83539682539</v>
      </c>
      <c r="G27" s="96">
        <f>IF(C27="","-",
IF(D27&lt;=$D$20,0,
    0.05*MAX(0, MIN(D27,$D$21) - MAX(D27-C27,$C$21)) +
    0.1*MAX(0, MIN(D27,$D$22) - MAX(D27-C27,$C$22)) +
    0.15*MAX(0, D27 - MAX(D27-C27,$C$23))
))</f>
        <v>0</v>
      </c>
      <c r="H27" s="74"/>
      <c r="L27" s="69"/>
    </row>
    <row r="28" spans="1:12" x14ac:dyDescent="0.25">
      <c r="A28" s="74"/>
      <c r="B28" s="92" t="s">
        <v>75</v>
      </c>
      <c r="C28" s="93">
        <v>0</v>
      </c>
      <c r="D28" s="93">
        <v>0</v>
      </c>
      <c r="E28" s="94" t="str">
        <f t="shared" si="2"/>
        <v>Bracket 1</v>
      </c>
      <c r="F28" s="95">
        <f t="shared" si="3"/>
        <v>226521.83539682539</v>
      </c>
      <c r="G28" s="96">
        <f t="shared" ref="G28:G38" si="4">IF(C28="","-",
IF(D28&lt;=$D$20,0,
    0.05*MAX(0, MIN(D28,$D$21) - MAX(D28-C28,$C$21)) +
    0.1*MAX(0, MIN(D28,$D$22) - MAX(D28-C28,$C$22)) +
    0.15*MAX(0, D28 - MAX(D28-C28,$C$23))
))</f>
        <v>0</v>
      </c>
      <c r="H28" s="74"/>
    </row>
    <row r="29" spans="1:12" x14ac:dyDescent="0.25">
      <c r="A29" s="74"/>
      <c r="B29" s="92" t="s">
        <v>76</v>
      </c>
      <c r="C29" s="93" t="e">
        <f>'26 Compare'!#REF!+('26 Compare'!#REF!*0.75)</f>
        <v>#REF!</v>
      </c>
      <c r="D29" s="93" t="e">
        <f t="shared" ref="D29:D38" si="5">IF(OR(C29=0, C29=""), "-", D28+C29)</f>
        <v>#REF!</v>
      </c>
      <c r="E29" s="94" t="e">
        <f t="shared" si="2"/>
        <v>#REF!</v>
      </c>
      <c r="F29" s="95" t="e">
        <f t="shared" si="3"/>
        <v>#REF!</v>
      </c>
      <c r="G29" s="96" t="e">
        <f t="shared" si="4"/>
        <v>#REF!</v>
      </c>
      <c r="H29" s="144" t="s">
        <v>172</v>
      </c>
    </row>
    <row r="30" spans="1:12" x14ac:dyDescent="0.25">
      <c r="A30" s="74"/>
      <c r="B30" s="92" t="s">
        <v>78</v>
      </c>
      <c r="C30" s="93" t="e">
        <f>'26 Compare'!#REF!+('26 Compare'!#REF!*0.75)</f>
        <v>#REF!</v>
      </c>
      <c r="D30" s="93" t="e">
        <f t="shared" si="5"/>
        <v>#REF!</v>
      </c>
      <c r="E30" s="94" t="e">
        <f t="shared" si="2"/>
        <v>#REF!</v>
      </c>
      <c r="F30" s="95" t="e">
        <f t="shared" si="3"/>
        <v>#REF!</v>
      </c>
      <c r="G30" s="96" t="e">
        <f t="shared" si="4"/>
        <v>#REF!</v>
      </c>
      <c r="H30" s="144" t="s">
        <v>172</v>
      </c>
    </row>
    <row r="31" spans="1:12" x14ac:dyDescent="0.25">
      <c r="A31" s="74"/>
      <c r="B31" s="92" t="s">
        <v>79</v>
      </c>
      <c r="C31" s="93" t="e">
        <f>'26 Compare'!#REF!+('26 Compare'!#REF!*0.75)</f>
        <v>#REF!</v>
      </c>
      <c r="D31" s="93" t="e">
        <f t="shared" si="5"/>
        <v>#REF!</v>
      </c>
      <c r="E31" s="94" t="e">
        <f t="shared" si="2"/>
        <v>#REF!</v>
      </c>
      <c r="F31" s="95" t="e">
        <f t="shared" si="3"/>
        <v>#REF!</v>
      </c>
      <c r="G31" s="96" t="e">
        <f t="shared" si="4"/>
        <v>#REF!</v>
      </c>
      <c r="H31" s="144" t="s">
        <v>172</v>
      </c>
    </row>
    <row r="32" spans="1:12" x14ac:dyDescent="0.25">
      <c r="A32" s="74"/>
      <c r="B32" s="92" t="s">
        <v>80</v>
      </c>
      <c r="C32" s="93" t="e">
        <f>'26 Compare'!#REF!+('26 Compare'!#REF!*0.75)</f>
        <v>#REF!</v>
      </c>
      <c r="D32" s="93" t="e">
        <f t="shared" si="5"/>
        <v>#REF!</v>
      </c>
      <c r="E32" s="94" t="e">
        <f t="shared" si="2"/>
        <v>#REF!</v>
      </c>
      <c r="F32" s="95" t="e">
        <f t="shared" si="3"/>
        <v>#REF!</v>
      </c>
      <c r="G32" s="96" t="e">
        <f t="shared" si="4"/>
        <v>#REF!</v>
      </c>
      <c r="H32" s="144" t="s">
        <v>172</v>
      </c>
    </row>
    <row r="33" spans="1:8" x14ac:dyDescent="0.25">
      <c r="A33" s="74"/>
      <c r="B33" s="92" t="s">
        <v>81</v>
      </c>
      <c r="C33" s="93" t="e">
        <f>'26 Compare'!#REF!+('26 Compare'!#REF!*0.75)</f>
        <v>#REF!</v>
      </c>
      <c r="D33" s="93" t="e">
        <f t="shared" si="5"/>
        <v>#REF!</v>
      </c>
      <c r="E33" s="94" t="e">
        <f t="shared" si="2"/>
        <v>#REF!</v>
      </c>
      <c r="F33" s="95" t="e">
        <f t="shared" si="3"/>
        <v>#REF!</v>
      </c>
      <c r="G33" s="96" t="e">
        <f t="shared" si="4"/>
        <v>#REF!</v>
      </c>
      <c r="H33" s="144" t="s">
        <v>173</v>
      </c>
    </row>
    <row r="34" spans="1:8" x14ac:dyDescent="0.25">
      <c r="A34" s="74"/>
      <c r="B34" s="92" t="s">
        <v>82</v>
      </c>
      <c r="C34" s="93" t="e">
        <f>'26 Compare'!#REF!+('26 Compare'!#REF!*0.75)</f>
        <v>#REF!</v>
      </c>
      <c r="D34" s="93" t="e">
        <f t="shared" si="5"/>
        <v>#REF!</v>
      </c>
      <c r="E34" s="94" t="e">
        <f t="shared" si="2"/>
        <v>#REF!</v>
      </c>
      <c r="F34" s="95" t="e">
        <f t="shared" si="3"/>
        <v>#REF!</v>
      </c>
      <c r="G34" s="96" t="e">
        <f t="shared" si="4"/>
        <v>#REF!</v>
      </c>
      <c r="H34" s="144" t="s">
        <v>173</v>
      </c>
    </row>
    <row r="35" spans="1:8" x14ac:dyDescent="0.25">
      <c r="A35" s="74"/>
      <c r="B35" s="92" t="s">
        <v>84</v>
      </c>
      <c r="C35" s="93" t="e">
        <f>'26 Compare'!#REF!+('26 Compare'!#REF!*0.75)</f>
        <v>#REF!</v>
      </c>
      <c r="D35" s="93" t="e">
        <f t="shared" si="5"/>
        <v>#REF!</v>
      </c>
      <c r="E35" s="94" t="e">
        <f t="shared" si="2"/>
        <v>#REF!</v>
      </c>
      <c r="F35" s="95" t="e">
        <f t="shared" si="3"/>
        <v>#REF!</v>
      </c>
      <c r="G35" s="96" t="e">
        <f t="shared" si="4"/>
        <v>#REF!</v>
      </c>
      <c r="H35" s="144" t="s">
        <v>173</v>
      </c>
    </row>
    <row r="36" spans="1:8" x14ac:dyDescent="0.25">
      <c r="A36" s="74"/>
      <c r="B36" s="92" t="s">
        <v>86</v>
      </c>
      <c r="C36" s="93" t="e">
        <f>'26 Compare'!#REF!+('26 Compare'!#REF!*0.75)</f>
        <v>#REF!</v>
      </c>
      <c r="D36" s="93" t="e">
        <f t="shared" si="5"/>
        <v>#REF!</v>
      </c>
      <c r="E36" s="94" t="e">
        <f t="shared" si="2"/>
        <v>#REF!</v>
      </c>
      <c r="F36" s="95" t="e">
        <f t="shared" si="3"/>
        <v>#REF!</v>
      </c>
      <c r="G36" s="96" t="e">
        <f t="shared" si="4"/>
        <v>#REF!</v>
      </c>
      <c r="H36" s="144" t="s">
        <v>173</v>
      </c>
    </row>
    <row r="37" spans="1:8" x14ac:dyDescent="0.25">
      <c r="A37" s="74"/>
      <c r="B37" s="92" t="s">
        <v>89</v>
      </c>
      <c r="C37" s="93" t="e">
        <f>'26 Compare'!#REF!+('26 Compare'!#REF!*0.75)</f>
        <v>#REF!</v>
      </c>
      <c r="D37" s="93" t="e">
        <f t="shared" si="5"/>
        <v>#REF!</v>
      </c>
      <c r="E37" s="94" t="e">
        <f t="shared" si="2"/>
        <v>#REF!</v>
      </c>
      <c r="F37" s="95" t="e">
        <f t="shared" si="3"/>
        <v>#REF!</v>
      </c>
      <c r="G37" s="96" t="e">
        <f t="shared" si="4"/>
        <v>#REF!</v>
      </c>
      <c r="H37" s="144" t="s">
        <v>173</v>
      </c>
    </row>
    <row r="38" spans="1:8" ht="15.75" thickBot="1" x14ac:dyDescent="0.3">
      <c r="A38" s="74"/>
      <c r="B38" s="126" t="s">
        <v>90</v>
      </c>
      <c r="C38" s="127"/>
      <c r="D38" s="127" t="str">
        <f t="shared" si="5"/>
        <v>-</v>
      </c>
      <c r="E38" s="128" t="str">
        <f t="shared" si="2"/>
        <v/>
      </c>
      <c r="F38" s="129">
        <f t="shared" si="3"/>
        <v>0</v>
      </c>
      <c r="G38" s="142" t="str">
        <f t="shared" si="4"/>
        <v>-</v>
      </c>
      <c r="H38" s="74"/>
    </row>
    <row r="39" spans="1:8" ht="15.75" thickBot="1" x14ac:dyDescent="0.3">
      <c r="A39" s="74"/>
      <c r="B39" s="75"/>
      <c r="C39" s="75"/>
      <c r="D39" s="98"/>
      <c r="E39" s="74"/>
      <c r="F39" s="74"/>
      <c r="G39" s="130" t="e">
        <f>SUM(G27:G38)</f>
        <v>#REF!</v>
      </c>
      <c r="H39" s="74"/>
    </row>
  </sheetData>
  <mergeCells count="2">
    <mergeCell ref="B1:F1"/>
    <mergeCell ref="B2: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M29"/>
  <sheetViews>
    <sheetView topLeftCell="B5" zoomScale="74" zoomScaleNormal="74" workbookViewId="0">
      <selection activeCell="K15" sqref="K15"/>
    </sheetView>
  </sheetViews>
  <sheetFormatPr defaultRowHeight="15.75" x14ac:dyDescent="0.25"/>
  <cols>
    <col min="1" max="1" width="0" hidden="1" customWidth="1"/>
    <col min="2" max="2" width="12.25" customWidth="1"/>
    <col min="3" max="3" width="7.125" customWidth="1"/>
    <col min="4" max="4" width="13.25" style="17" bestFit="1" customWidth="1"/>
    <col min="5" max="5" width="13.25" style="17" customWidth="1"/>
    <col min="6" max="6" width="10.125" style="17" bestFit="1" customWidth="1"/>
    <col min="7" max="7" width="11.875" style="17" customWidth="1"/>
    <col min="8" max="8" width="13.375" bestFit="1" customWidth="1"/>
    <col min="9" max="9" width="6" customWidth="1"/>
    <col min="10" max="10" width="5.5" customWidth="1"/>
    <col min="11" max="11" width="28.875" bestFit="1" customWidth="1"/>
    <col min="12" max="12" width="30.25" bestFit="1" customWidth="1"/>
    <col min="13" max="13" width="12.75" bestFit="1" customWidth="1"/>
    <col min="14" max="14" width="16.5" bestFit="1" customWidth="1"/>
    <col min="15" max="15" width="10.75" bestFit="1" customWidth="1"/>
  </cols>
  <sheetData>
    <row r="1" spans="2:13" ht="16.5" thickBot="1" x14ac:dyDescent="0.3"/>
    <row r="2" spans="2:13" s="31" customFormat="1" ht="47.25" x14ac:dyDescent="0.25">
      <c r="B2" s="230"/>
      <c r="C2" s="230"/>
      <c r="D2" s="231" t="s">
        <v>92</v>
      </c>
      <c r="E2" s="231" t="s">
        <v>93</v>
      </c>
      <c r="F2" s="231" t="s">
        <v>53</v>
      </c>
      <c r="G2" s="232" t="s">
        <v>209</v>
      </c>
      <c r="H2" s="232" t="s">
        <v>210</v>
      </c>
      <c r="K2" s="15" t="s">
        <v>175</v>
      </c>
      <c r="L2" s="244" t="s">
        <v>92</v>
      </c>
      <c r="M2" s="245"/>
    </row>
    <row r="3" spans="2:13" x14ac:dyDescent="0.25">
      <c r="B3" s="233" t="s">
        <v>67</v>
      </c>
      <c r="C3" s="234" t="s">
        <v>49</v>
      </c>
      <c r="D3" s="235">
        <v>88.4</v>
      </c>
      <c r="E3" s="235">
        <v>12.8</v>
      </c>
      <c r="F3" s="235">
        <f t="shared" ref="F3:F5" si="0">D3+E3</f>
        <v>101.2</v>
      </c>
      <c r="G3" s="235">
        <f>D3</f>
        <v>88.4</v>
      </c>
      <c r="H3" s="236">
        <v>0</v>
      </c>
      <c r="K3" s="133" t="s">
        <v>176</v>
      </c>
      <c r="L3" s="22" t="s">
        <v>177</v>
      </c>
      <c r="M3" s="23"/>
    </row>
    <row r="4" spans="2:13" x14ac:dyDescent="0.25">
      <c r="B4" s="237">
        <v>2026</v>
      </c>
      <c r="C4" s="238" t="s">
        <v>48</v>
      </c>
      <c r="D4" s="239">
        <v>93.8</v>
      </c>
      <c r="E4" s="239">
        <v>28.8</v>
      </c>
      <c r="F4" s="235">
        <f t="shared" si="0"/>
        <v>122.6</v>
      </c>
      <c r="G4" s="235">
        <f t="shared" ref="G4:G5" si="1">D4</f>
        <v>93.8</v>
      </c>
      <c r="H4" s="236">
        <v>0</v>
      </c>
      <c r="K4" s="131"/>
      <c r="L4" s="24" t="s">
        <v>178</v>
      </c>
      <c r="M4" s="25"/>
    </row>
    <row r="5" spans="2:13" x14ac:dyDescent="0.25">
      <c r="B5" s="237"/>
      <c r="C5" s="238" t="s">
        <v>50</v>
      </c>
      <c r="D5" s="239">
        <v>106.2</v>
      </c>
      <c r="E5" s="239">
        <v>6</v>
      </c>
      <c r="F5" s="235">
        <f t="shared" si="0"/>
        <v>112.2</v>
      </c>
      <c r="G5" s="235">
        <f t="shared" si="1"/>
        <v>106.2</v>
      </c>
      <c r="H5" s="236">
        <v>0</v>
      </c>
      <c r="K5" s="131"/>
      <c r="M5" s="14"/>
    </row>
    <row r="6" spans="2:13" x14ac:dyDescent="0.25">
      <c r="B6" s="240"/>
      <c r="C6" s="241"/>
      <c r="D6" s="239"/>
      <c r="E6" s="239"/>
      <c r="F6" s="242"/>
      <c r="G6" s="242"/>
      <c r="H6" s="243">
        <f>SUM(H3:H5)</f>
        <v>0</v>
      </c>
      <c r="K6" s="131"/>
      <c r="L6" t="s">
        <v>179</v>
      </c>
      <c r="M6" s="16">
        <v>100</v>
      </c>
    </row>
    <row r="7" spans="2:13" x14ac:dyDescent="0.25">
      <c r="B7" s="30"/>
      <c r="D7" s="29"/>
      <c r="E7" s="29"/>
      <c r="F7" s="29"/>
      <c r="G7" s="29"/>
      <c r="H7" s="18"/>
      <c r="K7" s="131"/>
      <c r="L7" t="s">
        <v>180</v>
      </c>
      <c r="M7" s="16">
        <v>300</v>
      </c>
    </row>
    <row r="8" spans="2:13" ht="48" thickBot="1" x14ac:dyDescent="0.3">
      <c r="B8" s="230"/>
      <c r="C8" s="230"/>
      <c r="D8" s="231" t="s">
        <v>92</v>
      </c>
      <c r="E8" s="231" t="s">
        <v>93</v>
      </c>
      <c r="F8" s="231" t="s">
        <v>53</v>
      </c>
      <c r="G8" s="232" t="s">
        <v>209</v>
      </c>
      <c r="H8" s="232" t="s">
        <v>210</v>
      </c>
      <c r="K8" s="134"/>
      <c r="L8" s="135" t="s">
        <v>181</v>
      </c>
      <c r="M8" s="136">
        <v>500</v>
      </c>
    </row>
    <row r="9" spans="2:13" ht="16.5" thickBot="1" x14ac:dyDescent="0.3">
      <c r="B9" s="233" t="s">
        <v>75</v>
      </c>
      <c r="C9" s="234" t="s">
        <v>49</v>
      </c>
      <c r="D9" s="235">
        <v>117.2</v>
      </c>
      <c r="E9" s="235">
        <v>8</v>
      </c>
      <c r="F9" s="235">
        <f t="shared" ref="F9:F11" si="2">D9+E9</f>
        <v>125.2</v>
      </c>
      <c r="G9" s="235">
        <f>D9</f>
        <v>117.2</v>
      </c>
      <c r="H9" s="236">
        <v>100</v>
      </c>
      <c r="K9" s="134"/>
      <c r="L9" s="135" t="s">
        <v>181</v>
      </c>
      <c r="M9" s="136">
        <v>500</v>
      </c>
    </row>
    <row r="10" spans="2:13" x14ac:dyDescent="0.25">
      <c r="B10" s="237">
        <v>2026</v>
      </c>
      <c r="C10" s="238" t="s">
        <v>48</v>
      </c>
      <c r="D10" s="239">
        <v>98.8</v>
      </c>
      <c r="E10" s="239">
        <v>35.799999999999997</v>
      </c>
      <c r="F10" s="235">
        <f t="shared" si="2"/>
        <v>134.6</v>
      </c>
      <c r="G10" s="235">
        <f t="shared" ref="G10:G11" si="3">D10</f>
        <v>98.8</v>
      </c>
      <c r="H10" s="236">
        <v>0</v>
      </c>
    </row>
    <row r="11" spans="2:13" x14ac:dyDescent="0.25">
      <c r="B11" s="237"/>
      <c r="C11" s="238" t="s">
        <v>50</v>
      </c>
      <c r="D11" s="239">
        <v>125.2</v>
      </c>
      <c r="E11" s="239">
        <v>8</v>
      </c>
      <c r="F11" s="235">
        <f t="shared" si="2"/>
        <v>133.19999999999999</v>
      </c>
      <c r="G11" s="235">
        <f t="shared" si="3"/>
        <v>125.2</v>
      </c>
      <c r="H11" s="236">
        <v>300</v>
      </c>
    </row>
    <row r="12" spans="2:13" x14ac:dyDescent="0.25">
      <c r="B12" s="240"/>
      <c r="C12" s="241"/>
      <c r="D12" s="239"/>
      <c r="E12" s="239"/>
      <c r="F12" s="242"/>
      <c r="G12" s="242"/>
      <c r="H12" s="243">
        <f>SUM(H9:H11)</f>
        <v>400</v>
      </c>
    </row>
    <row r="25" spans="2:8" ht="47.25" x14ac:dyDescent="0.25">
      <c r="B25" s="351"/>
      <c r="C25" s="351"/>
      <c r="D25" s="352" t="s">
        <v>92</v>
      </c>
      <c r="E25" s="352" t="s">
        <v>93</v>
      </c>
      <c r="F25" s="352" t="s">
        <v>53</v>
      </c>
      <c r="G25" s="353" t="s">
        <v>209</v>
      </c>
      <c r="H25" s="353" t="s">
        <v>210</v>
      </c>
    </row>
    <row r="26" spans="2:8" x14ac:dyDescent="0.25">
      <c r="B26" s="354">
        <v>2026</v>
      </c>
      <c r="C26" s="355" t="s">
        <v>49</v>
      </c>
      <c r="D26" s="356">
        <f t="shared" ref="D26:E28" si="4">D3+D9</f>
        <v>205.60000000000002</v>
      </c>
      <c r="E26" s="356">
        <f t="shared" si="4"/>
        <v>20.8</v>
      </c>
      <c r="F26" s="356">
        <f t="shared" ref="F26:F28" si="5">D26+E26</f>
        <v>226.40000000000003</v>
      </c>
      <c r="G26" s="356">
        <f>D26</f>
        <v>205.60000000000002</v>
      </c>
      <c r="H26" s="357">
        <f>H3+H9</f>
        <v>100</v>
      </c>
    </row>
    <row r="27" spans="2:8" x14ac:dyDescent="0.25">
      <c r="B27" s="354" t="s">
        <v>182</v>
      </c>
      <c r="C27" s="358" t="s">
        <v>48</v>
      </c>
      <c r="D27" s="359">
        <f t="shared" si="4"/>
        <v>192.6</v>
      </c>
      <c r="E27" s="359">
        <f t="shared" si="4"/>
        <v>64.599999999999994</v>
      </c>
      <c r="F27" s="356">
        <f t="shared" si="5"/>
        <v>257.2</v>
      </c>
      <c r="G27" s="356">
        <f t="shared" ref="G27:G28" si="6">D27</f>
        <v>192.6</v>
      </c>
      <c r="H27" s="357">
        <f>H4+H10</f>
        <v>0</v>
      </c>
    </row>
    <row r="28" spans="2:8" x14ac:dyDescent="0.25">
      <c r="B28" s="354"/>
      <c r="C28" s="358" t="s">
        <v>50</v>
      </c>
      <c r="D28" s="359">
        <f t="shared" si="4"/>
        <v>231.4</v>
      </c>
      <c r="E28" s="359">
        <f t="shared" si="4"/>
        <v>14</v>
      </c>
      <c r="F28" s="356">
        <f t="shared" si="5"/>
        <v>245.4</v>
      </c>
      <c r="G28" s="356">
        <f t="shared" si="6"/>
        <v>231.4</v>
      </c>
      <c r="H28" s="357">
        <f>H5+H11</f>
        <v>300</v>
      </c>
    </row>
    <row r="29" spans="2:8" x14ac:dyDescent="0.25">
      <c r="B29" s="360"/>
      <c r="C29" s="361"/>
      <c r="D29" s="359"/>
      <c r="E29" s="359"/>
      <c r="F29" s="362"/>
      <c r="G29" s="362"/>
      <c r="H29" s="363">
        <f>SUM(H26:H28)</f>
        <v>400</v>
      </c>
    </row>
  </sheetData>
  <pageMargins left="0.7" right="0.7" top="0.75" bottom="0.75" header="0.3" footer="0.3"/>
  <pageSetup scale="3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FA84-37EF-4502-9447-4945FB7C0FF5}">
  <dimension ref="A1:F27"/>
  <sheetViews>
    <sheetView workbookViewId="0">
      <selection activeCell="N23" sqref="N23"/>
    </sheetView>
  </sheetViews>
  <sheetFormatPr defaultRowHeight="15.75" x14ac:dyDescent="0.25"/>
  <cols>
    <col min="1" max="1" width="9" style="13"/>
    <col min="2" max="2" width="11.5" style="17" customWidth="1"/>
    <col min="3" max="3" width="11.75" style="17" customWidth="1"/>
    <col min="4" max="5" width="9" style="17"/>
  </cols>
  <sheetData>
    <row r="1" spans="1:6" s="19" customFormat="1" x14ac:dyDescent="0.25">
      <c r="A1" s="13"/>
      <c r="B1" s="13" t="s">
        <v>183</v>
      </c>
      <c r="C1" s="13" t="s">
        <v>5</v>
      </c>
      <c r="D1" s="13" t="s">
        <v>184</v>
      </c>
      <c r="E1" s="13"/>
    </row>
    <row r="2" spans="1:6" x14ac:dyDescent="0.25">
      <c r="A2" s="13" t="s">
        <v>135</v>
      </c>
      <c r="B2" s="27"/>
      <c r="C2" s="27"/>
      <c r="D2" s="27"/>
      <c r="E2" s="27"/>
      <c r="F2" s="26"/>
    </row>
    <row r="3" spans="1:6" x14ac:dyDescent="0.25">
      <c r="A3" s="13" t="s">
        <v>136</v>
      </c>
      <c r="B3" s="27"/>
      <c r="C3" s="27"/>
      <c r="D3" s="27"/>
      <c r="E3" s="27"/>
      <c r="F3" s="26"/>
    </row>
    <row r="4" spans="1:6" x14ac:dyDescent="0.25">
      <c r="A4" s="13" t="s">
        <v>137</v>
      </c>
      <c r="B4" s="27"/>
      <c r="C4" s="27"/>
      <c r="D4" s="27"/>
      <c r="E4" s="27"/>
      <c r="F4" s="26"/>
    </row>
    <row r="5" spans="1:6" x14ac:dyDescent="0.25">
      <c r="A5" s="13" t="s">
        <v>138</v>
      </c>
      <c r="B5" s="27"/>
      <c r="C5" s="27"/>
      <c r="D5" s="27"/>
      <c r="E5" s="27"/>
      <c r="F5" s="26"/>
    </row>
    <row r="6" spans="1:6" x14ac:dyDescent="0.25">
      <c r="A6" s="13" t="s">
        <v>79</v>
      </c>
      <c r="B6" s="27"/>
      <c r="C6" s="27"/>
      <c r="D6" s="27"/>
      <c r="E6" s="27"/>
      <c r="F6" s="26"/>
    </row>
    <row r="7" spans="1:6" x14ac:dyDescent="0.25">
      <c r="A7" s="13" t="s">
        <v>139</v>
      </c>
      <c r="B7" s="27"/>
      <c r="C7" s="27"/>
      <c r="D7" s="27"/>
      <c r="E7" s="27"/>
      <c r="F7" s="26"/>
    </row>
    <row r="8" spans="1:6" x14ac:dyDescent="0.25">
      <c r="A8" s="13" t="s">
        <v>140</v>
      </c>
      <c r="B8" s="27"/>
      <c r="C8" s="27"/>
      <c r="D8" s="27"/>
      <c r="E8" s="27"/>
      <c r="F8" s="26"/>
    </row>
    <row r="9" spans="1:6" x14ac:dyDescent="0.25">
      <c r="A9" s="13" t="s">
        <v>141</v>
      </c>
      <c r="B9" s="27"/>
      <c r="C9" s="27"/>
      <c r="D9" s="27"/>
      <c r="E9" s="27"/>
      <c r="F9" s="26"/>
    </row>
    <row r="10" spans="1:6" x14ac:dyDescent="0.25">
      <c r="A10" s="13" t="s">
        <v>185</v>
      </c>
      <c r="B10" s="27"/>
      <c r="C10" s="27"/>
      <c r="D10" s="27"/>
      <c r="E10" s="27"/>
      <c r="F10" s="26"/>
    </row>
    <row r="11" spans="1:6" x14ac:dyDescent="0.25">
      <c r="A11" s="13" t="s">
        <v>143</v>
      </c>
      <c r="B11" s="27"/>
      <c r="C11" s="27"/>
      <c r="D11" s="27"/>
      <c r="E11" s="27"/>
      <c r="F11" s="26"/>
    </row>
    <row r="12" spans="1:6" x14ac:dyDescent="0.25">
      <c r="A12" s="13" t="s">
        <v>144</v>
      </c>
      <c r="B12" s="27">
        <v>8</v>
      </c>
      <c r="C12" s="27">
        <v>0</v>
      </c>
      <c r="D12" s="27">
        <v>0</v>
      </c>
      <c r="E12" s="27"/>
      <c r="F12" s="26"/>
    </row>
    <row r="13" spans="1:6" x14ac:dyDescent="0.25">
      <c r="A13" s="13" t="s">
        <v>145</v>
      </c>
      <c r="B13" s="137">
        <v>3.6</v>
      </c>
      <c r="C13" s="137">
        <v>2.2000000000000002</v>
      </c>
      <c r="D13" s="137">
        <v>0.6</v>
      </c>
      <c r="E13" s="27"/>
      <c r="F13" s="26"/>
    </row>
    <row r="14" spans="1:6" x14ac:dyDescent="0.25">
      <c r="B14" s="99">
        <f>SUM(B2:B13)</f>
        <v>11.6</v>
      </c>
      <c r="C14" s="28">
        <f>SUM(C2:C13)</f>
        <v>2.2000000000000002</v>
      </c>
      <c r="D14" s="28">
        <f>SUM(D2:D13)</f>
        <v>0.6</v>
      </c>
      <c r="E14" s="27"/>
      <c r="F14" s="26"/>
    </row>
    <row r="15" spans="1:6" x14ac:dyDescent="0.25">
      <c r="B15" s="27"/>
      <c r="C15" s="27"/>
      <c r="D15" s="27"/>
      <c r="E15" s="27"/>
      <c r="F15" s="26"/>
    </row>
    <row r="16" spans="1:6" x14ac:dyDescent="0.25">
      <c r="A16" s="13" t="s">
        <v>182</v>
      </c>
      <c r="B16" s="99">
        <v>30</v>
      </c>
      <c r="C16" s="27">
        <v>5</v>
      </c>
      <c r="D16" s="27" t="s">
        <v>186</v>
      </c>
      <c r="E16" s="27"/>
      <c r="F16" s="26"/>
    </row>
    <row r="17" spans="1:6" x14ac:dyDescent="0.25">
      <c r="A17" s="13" t="s">
        <v>187</v>
      </c>
      <c r="B17" s="27"/>
      <c r="C17" s="27"/>
      <c r="D17" s="27"/>
      <c r="E17" s="27"/>
      <c r="F17" s="26"/>
    </row>
    <row r="18" spans="1:6" x14ac:dyDescent="0.25">
      <c r="B18" s="27"/>
      <c r="C18" s="27"/>
      <c r="D18" s="27"/>
      <c r="E18" s="27"/>
      <c r="F18" s="26"/>
    </row>
    <row r="19" spans="1:6" x14ac:dyDescent="0.25">
      <c r="B19" s="27"/>
      <c r="C19" s="27"/>
      <c r="D19" s="27"/>
      <c r="E19" s="27"/>
      <c r="F19" s="26"/>
    </row>
    <row r="20" spans="1:6" x14ac:dyDescent="0.25">
      <c r="B20" s="27"/>
      <c r="C20" s="27"/>
      <c r="D20" s="27"/>
      <c r="E20" s="27"/>
      <c r="F20" s="26"/>
    </row>
    <row r="21" spans="1:6" x14ac:dyDescent="0.25">
      <c r="B21" s="27"/>
      <c r="C21" s="27"/>
      <c r="D21" s="27"/>
      <c r="E21" s="27"/>
      <c r="F21" s="26"/>
    </row>
    <row r="22" spans="1:6" x14ac:dyDescent="0.25">
      <c r="B22" s="27"/>
      <c r="C22" s="27"/>
      <c r="D22" s="27"/>
      <c r="E22" s="27"/>
      <c r="F22" s="26"/>
    </row>
    <row r="23" spans="1:6" x14ac:dyDescent="0.25">
      <c r="B23" s="27"/>
      <c r="C23" s="27"/>
      <c r="D23" s="27"/>
      <c r="E23" s="27"/>
      <c r="F23" s="26"/>
    </row>
    <row r="24" spans="1:6" x14ac:dyDescent="0.25">
      <c r="B24" s="27"/>
      <c r="C24" s="27"/>
      <c r="D24" s="27"/>
      <c r="E24" s="27"/>
      <c r="F24" s="26"/>
    </row>
    <row r="25" spans="1:6" x14ac:dyDescent="0.25">
      <c r="B25" s="27"/>
      <c r="C25" s="27"/>
      <c r="D25" s="27"/>
      <c r="E25" s="27"/>
      <c r="F25" s="26"/>
    </row>
    <row r="26" spans="1:6" x14ac:dyDescent="0.25">
      <c r="B26" s="27"/>
      <c r="C26" s="27"/>
      <c r="D26" s="27"/>
      <c r="E26" s="27"/>
      <c r="F26" s="26"/>
    </row>
    <row r="27" spans="1:6" x14ac:dyDescent="0.25">
      <c r="B27" s="27"/>
      <c r="C27" s="27"/>
      <c r="D27" s="27"/>
      <c r="E27" s="27"/>
      <c r="F27"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2026 Goals </vt:lpstr>
      <vt:lpstr>26 Compare</vt:lpstr>
      <vt:lpstr>Utilization</vt:lpstr>
      <vt:lpstr>Realization</vt:lpstr>
      <vt:lpstr>Collection</vt:lpstr>
      <vt:lpstr>NAF(NEED FILL AND MAKE FOR ALL)</vt:lpstr>
      <vt:lpstr>PAR Bonus (Old)</vt:lpstr>
      <vt:lpstr>KES Bonus (Old)</vt:lpstr>
      <vt:lpstr>NRN Bonus (Old)</vt:lpstr>
      <vt:lpstr>NAF Bonus (Old)</vt:lpstr>
      <vt:lpstr>MNH Bonus (Old)</vt:lpstr>
      <vt:lpstr>TBS Bonus (Old)</vt:lpstr>
      <vt:lpstr>JPB Bonus (Old)</vt:lpstr>
      <vt:lpstr>PARA Bonus</vt:lpstr>
      <vt:lpstr>NAF Admin Tracking (Old)</vt:lpstr>
    </vt:vector>
  </TitlesOfParts>
  <Manager/>
  <Company>LegalBizSuccess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Peggy  Gruenke</dc:creator>
  <cp:keywords/>
  <dc:description/>
  <cp:lastModifiedBy>Rachel Trevino</cp:lastModifiedBy>
  <cp:revision/>
  <dcterms:created xsi:type="dcterms:W3CDTF">2014-11-30T18:31:06Z</dcterms:created>
  <dcterms:modified xsi:type="dcterms:W3CDTF">2026-04-14T21:39:38Z</dcterms:modified>
  <cp:category/>
  <cp:contentStatus/>
</cp:coreProperties>
</file>